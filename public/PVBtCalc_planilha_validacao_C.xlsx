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Comparacao PVBtCalc" sheetId="1" state="visible" r:id="rId1"/>
    <sheet xmlns:r="http://schemas.openxmlformats.org/officeDocument/2006/relationships" name="Banco de teste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Cambria"/>
      <charset val="1"/>
      <b val="1"/>
      <sz val="14"/>
    </font>
    <font>
      <name val="Cambria"/>
      <charset val="1"/>
      <i val="1"/>
      <sz val="9"/>
    </font>
    <font>
      <name val="Cambria"/>
      <charset val="1"/>
      <b val="1"/>
      <sz val="11"/>
    </font>
    <font>
      <name val="Cambria"/>
      <charset val="1"/>
      <color rgb="FF000000"/>
      <sz val="11"/>
    </font>
    <font>
      <name val="Cambria"/>
      <charset val="1"/>
      <color rgb="FF0000FF"/>
      <sz val="11"/>
    </font>
    <font>
      <name val="Cambria"/>
      <charset val="1"/>
      <b val="1"/>
      <sz val="9"/>
    </font>
    <font>
      <name val="Cambria"/>
      <charset val="1"/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5" borderId="0" pivotButton="0" quotePrefix="0" xfId="0"/>
    <xf numFmtId="0" fontId="4" fillId="0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6" borderId="0" pivotButton="0" quotePrefix="0" xfId="0"/>
    <xf numFmtId="0" fontId="0" fillId="6" borderId="1" pivotButton="0" quotePrefix="0" xfId="0"/>
    <xf numFmtId="10" fontId="0" fillId="0" borderId="1" pivotButton="0" quotePrefix="0" xfId="0"/>
    <xf numFmtId="0" fontId="0" fillId="2" borderId="0" pivotButton="0" quotePrefix="0" xfId="0"/>
    <xf numFmtId="0" fontId="3" fillId="6" borderId="1" applyAlignment="1" pivotButton="0" quotePrefix="0" xfId="0">
      <alignment horizontal="center" wrapText="1"/>
    </xf>
    <xf numFmtId="0" fontId="3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7" borderId="1" pivotButton="0" quotePrefix="0" xfId="0"/>
    <xf numFmtId="11" fontId="0" fillId="6" borderId="1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tabSelected="1" zoomScale="81" zoomScaleNormal="75" workbookViewId="0">
      <selection activeCell="C1" sqref="C1"/>
    </sheetView>
  </sheetViews>
  <sheetFormatPr baseColWidth="8" defaultColWidth="8.6640625" defaultRowHeight="14.4"/>
  <cols>
    <col width="40" customWidth="1" min="1" max="1"/>
    <col width="20" customWidth="1" min="2" max="4"/>
    <col width="62" customWidth="1" min="5" max="5"/>
    <col width="16" customWidth="1" min="6" max="8"/>
    <col width="10" customWidth="1" min="9" max="9"/>
    <col width="11" customWidth="1" min="10" max="11"/>
    <col width="10" customWidth="1" min="12" max="12"/>
    <col width="11" customWidth="1" min="13" max="13"/>
  </cols>
  <sheetData>
    <row r="1" ht="17.25" customHeight="1">
      <c r="A1" s="1">
        <f>"PVBtCalc — planilha de comparacao (modelo RADIAL, "&amp;$F$6&amp;", "&amp;TEXT($B$13,"0.00")&amp;" C, alvo "&amp;$B$18&amp;" ft)"</f>
        <v/>
      </c>
    </row>
    <row r="2" ht="15" customHeight="1">
      <c r="A2" s="2" t="inlineStr">
        <is>
          <t>AMARELO = voce edita.  VERDE = voce digita o que o PVBtCalc mostrou.  Branco = calculado.</t>
        </is>
      </c>
    </row>
    <row r="4" ht="15" customHeight="1">
      <c r="A4" s="3" t="inlineStr">
        <is>
          <t xml:space="preserve">CONSTANTES </t>
        </is>
      </c>
      <c r="B4" s="3" t="inlineStr">
        <is>
          <t>valor</t>
        </is>
      </c>
      <c r="C4" s="3" t="inlineStr">
        <is>
          <t>descricao</t>
        </is>
      </c>
      <c r="E4" s="3" t="inlineStr">
        <is>
          <t>SELETOR DO CASO DE TESTE</t>
        </is>
      </c>
      <c r="F4" s="3" t="inlineStr">
        <is>
          <t>escolha</t>
        </is>
      </c>
    </row>
    <row r="5" ht="15" customHeight="1">
      <c r="A5" t="inlineStr">
        <is>
          <t>n</t>
        </is>
      </c>
      <c r="B5" s="4">
        <f>IFERROR(INDEX('Banco de teste'!$D$6:$D$23,MATCH($F$5&amp;"|"&amp;$F$6,'Banco de teste'!$I$6:$I$23,0)),"")</f>
        <v/>
      </c>
      <c r="C5" s="2" t="inlineStr">
        <is>
          <t>Fator de area  (Tabela 1, via seletor)</t>
        </is>
      </c>
      <c r="E5" t="inlineStr">
        <is>
          <t>Rocha</t>
        </is>
      </c>
      <c r="F5" s="5" t="inlineStr">
        <is>
          <t>Indiana Limestone</t>
        </is>
      </c>
    </row>
    <row r="6" ht="15" customHeight="1">
      <c r="A6" t="inlineStr">
        <is>
          <t>a</t>
        </is>
      </c>
      <c r="B6" s="4">
        <f>IFERROR(INDEX('Banco de teste'!$E$6:$E$23,MATCH($F$5&amp;"|"&amp;$F$6,'Banco de teste'!$I$6:$I$23,0)),"")</f>
        <v/>
      </c>
      <c r="C6" s="2" t="inlineStr">
        <is>
          <t>Coef. zona de permeabilidade  (Tabela 1, via seletor)</t>
        </is>
      </c>
      <c r="E6" t="inlineStr">
        <is>
          <t>Sistema acido</t>
        </is>
      </c>
      <c r="F6" s="5" t="inlineStr">
        <is>
          <t>HCl com inibidor</t>
        </is>
      </c>
    </row>
    <row r="7" ht="15" customHeight="1">
      <c r="A7" t="inlineStr">
        <is>
          <t>b</t>
        </is>
      </c>
      <c r="B7" s="4">
        <f>IFERROR(INDEX('Banco de teste'!$F$6:$F$23,MATCH($F$5&amp;"|"&amp;$F$6,'Banco de teste'!$I$6:$I$23,0)),"")</f>
        <v/>
      </c>
      <c r="C7" s="2" t="inlineStr">
        <is>
          <t>Coef. de fluxo do wormhole  (Tabela 1, via seletor)</t>
        </is>
      </c>
      <c r="E7" t="inlineStr">
        <is>
          <t>ff da rocha</t>
        </is>
      </c>
      <c r="F7" s="6">
        <f>IFERROR(INDEX('Banco de teste'!$H$6:$H$23,MATCH($F$5&amp;"|"&amp;$F$6,'Banco de teste'!$I$6:$I$23,0)),"?")</f>
        <v/>
      </c>
      <c r="G7" s="2" t="inlineStr">
        <is>
          <t>informativo — nao entra no calculo radial hoje</t>
        </is>
      </c>
    </row>
    <row r="8" ht="15" customHeight="1">
      <c r="A8" t="inlineStr">
        <is>
          <t>k0</t>
        </is>
      </c>
      <c r="B8" s="4">
        <f>IFERROR(INDEX('Banco de teste'!$G$6:$G$23,MATCH($F$5&amp;"|"&amp;$F$6,'Banco de teste'!$I$6:$I$23,0)),"")</f>
        <v/>
      </c>
      <c r="C8" s="2" t="inlineStr">
        <is>
          <t>Constante estatica  (Tabela 1, via seletor)</t>
        </is>
      </c>
      <c r="E8" t="inlineStr">
        <is>
          <t>caso #</t>
        </is>
      </c>
      <c r="F8" s="6">
        <f>IFERROR(INDEX('Banco de teste'!$A$6:$A$23,MATCH($F$5&amp;"|"&amp;$F$6,'Banco de teste'!$I$6:$I$23,0)),"?")</f>
        <v/>
      </c>
    </row>
    <row r="9" ht="15" customHeight="1">
      <c r="A9" t="inlineStr">
        <is>
          <t>X</t>
        </is>
      </c>
      <c r="B9" s="5" t="n">
        <v>0.5417</v>
      </c>
      <c r="C9" s="2" t="inlineStr">
        <is>
          <t>Poder de dissolucao FIXO. No app X varia com a densidade do acido, logo com T (Eq. 4).</t>
        </is>
      </c>
      <c r="E9" t="inlineStr">
        <is>
          <t>f ja implementado no app?</t>
        </is>
      </c>
      <c r="F9" s="5" t="inlineStr">
        <is>
          <t>SIM</t>
        </is>
      </c>
      <c r="G9" s="2" t="inlineStr">
        <is>
          <t>mude para SIM depois que o backend passar a aplicar o flowing fraction</t>
        </is>
      </c>
    </row>
    <row r="10" ht="15" customHeight="1">
      <c r="A10" t="inlineStr">
        <is>
          <t>L</t>
        </is>
      </c>
      <c r="B10" s="5" t="n">
        <v>1</v>
      </c>
      <c r="C10" s="2" t="inlineStr">
        <is>
          <t>Comprimento caracteristico (m)</t>
        </is>
      </c>
      <c r="E10" t="inlineStr">
        <is>
          <t>f aplicado no calculo</t>
        </is>
      </c>
      <c r="F10" s="7">
        <f>IF($F$9="SIM",$F$7,1)</f>
        <v/>
      </c>
      <c r="G10" s="8">
        <f>IF($F$9="SIM","planilha multiplicando V_A e tbt por f="&amp;TEXT($F$7,"0.00"),"f NAO aplicado (estado atual do app) -- V_A igual para todas as rochas")</f>
        <v/>
      </c>
    </row>
    <row r="11" ht="15" customHeight="1">
      <c r="A11" t="inlineStr">
        <is>
          <t>M</t>
        </is>
      </c>
      <c r="B11" s="5" t="n">
        <v>60</v>
      </c>
      <c r="C11" t="inlineStr">
        <is>
          <t>Tempo caracteristico, s (constante do artigo)</t>
        </is>
      </c>
    </row>
    <row r="12" ht="15" customHeight="1">
      <c r="A12" s="3" t="inlineStr">
        <is>
          <t xml:space="preserve">ENTRADAS </t>
        </is>
      </c>
      <c r="B12" s="3" t="inlineStr">
        <is>
          <t>valor</t>
        </is>
      </c>
      <c r="C12" s="3" t="inlineStr">
        <is>
          <t>observacao</t>
        </is>
      </c>
      <c r="E12" s="3" t="inlineStr">
        <is>
          <t>FLOWRATE SWEEP (use isto no app)</t>
        </is>
      </c>
      <c r="F12" s="3" t="inlineStr">
        <is>
          <t>valor</t>
        </is>
      </c>
    </row>
    <row r="13" ht="15" customHeight="1">
      <c r="A13" t="inlineStr">
        <is>
          <t>System Temperature (°C)</t>
        </is>
      </c>
      <c r="B13" s="5" t="n">
        <v>60</v>
      </c>
      <c r="C13" s="2" t="inlineStr">
        <is>
          <t>A UI e o export usam °C. O modelo calcula em Kelvin — conversao na linha 21.</t>
        </is>
      </c>
      <c r="E13" t="inlineStr">
        <is>
          <t>min [gal/(ft.min)]</t>
        </is>
      </c>
      <c r="F13" s="5" t="n">
        <v>0.09</v>
      </c>
      <c r="G13" t="inlineStr">
        <is>
          <t>sweep default ~ q_opt/10 .. q_opt*10 para o caso acima</t>
        </is>
      </c>
    </row>
    <row r="14" ht="15" customHeight="1">
      <c r="A14" t="inlineStr">
        <is>
          <t>Core Porosity</t>
        </is>
      </c>
      <c r="B14" s="5" t="n">
        <v>0.2</v>
      </c>
      <c r="C14" s="2" t="n"/>
      <c r="E14" t="inlineStr">
        <is>
          <t>max [gal/(ft.min)]</t>
        </is>
      </c>
      <c r="F14" s="5" t="n">
        <v>9.300000000000001</v>
      </c>
    </row>
    <row r="15" ht="15" customHeight="1">
      <c r="A15" t="inlineStr">
        <is>
          <t>Acid Concentration (w/w)</t>
        </is>
      </c>
      <c r="B15" s="5" t="n">
        <v>0.15</v>
      </c>
      <c r="C15" s="2" t="n"/>
      <c r="E15" t="inlineStr">
        <is>
          <t>N pontos</t>
        </is>
      </c>
      <c r="F15" s="5" t="n">
        <v>80</v>
      </c>
    </row>
    <row r="16" ht="15" customHeight="1">
      <c r="A16" t="inlineStr">
        <is>
          <t>Wellbore Size (in)</t>
        </is>
      </c>
      <c r="B16" s="5" t="n">
        <v>6</v>
      </c>
      <c r="C16" s="2" t="inlineStr">
        <is>
          <t>modo DIAMETRO -&gt; raio = 3 in (B22 = B16/2 em polegadas)</t>
        </is>
      </c>
      <c r="E16" t="inlineStr">
        <is>
          <t>passo linear</t>
        </is>
      </c>
      <c r="F16">
        <f>(F14-F13)/(F15-1)</f>
        <v/>
      </c>
    </row>
    <row r="17" ht="15" customHeight="1">
      <c r="A17" t="inlineStr">
        <is>
          <t>Payzone Thickness (ft)</t>
        </is>
      </c>
      <c r="B17" s="5" t="n">
        <v>1</v>
      </c>
      <c r="C17" s="2" t="n"/>
    </row>
    <row r="18" ht="15" customHeight="1">
      <c r="A18" t="inlineStr">
        <is>
          <t>Target (ft)</t>
        </is>
      </c>
      <c r="B18" s="5" t="n">
        <v>10</v>
      </c>
      <c r="C18" s="2" t="inlineStr">
        <is>
          <t>comprimento do wormhole</t>
        </is>
      </c>
    </row>
    <row r="20" ht="15" customHeight="1">
      <c r="A20" s="3" t="inlineStr">
        <is>
          <t xml:space="preserve">DERIVADOS </t>
        </is>
      </c>
      <c r="B20" s="3" t="inlineStr">
        <is>
          <t>valor</t>
        </is>
      </c>
    </row>
    <row r="21" ht="15" customHeight="1">
      <c r="A21" t="inlineStr">
        <is>
          <t>T_K [K] (= °C + 273.15) — entra na Eq. 18</t>
        </is>
      </c>
      <c r="B21" s="9">
        <f>$B$13+273.15</f>
        <v/>
      </c>
    </row>
    <row r="22" ht="15" customHeight="1">
      <c r="A22" t="inlineStr">
        <is>
          <t>r_w [m]</t>
        </is>
      </c>
      <c r="B22" s="9">
        <f>($B$16/2)*0.0254</f>
        <v/>
      </c>
    </row>
    <row r="23" ht="15" customHeight="1">
      <c r="A23" t="inlineStr">
        <is>
          <t>h_o [m]</t>
        </is>
      </c>
      <c r="B23" s="9">
        <f>$B$17*0.3048</f>
        <v/>
      </c>
    </row>
    <row r="24" ht="15" customHeight="1">
      <c r="A24" t="inlineStr">
        <is>
          <t>Dm [m2/s]</t>
        </is>
      </c>
      <c r="B24" s="9">
        <f>EXP(-2270/$B$21+1.326*$B$15-12.11)</f>
        <v/>
      </c>
    </row>
    <row r="25" ht="15" customHeight="1">
      <c r="A25" t="inlineStr">
        <is>
          <t>k_eff [1/s]</t>
        </is>
      </c>
      <c r="B25" s="9">
        <f>$B$8*$B$24</f>
        <v/>
      </c>
    </row>
    <row r="26" ht="15" customHeight="1">
      <c r="A26" t="inlineStr">
        <is>
          <t>A_o [m2]</t>
        </is>
      </c>
      <c r="B26" s="9">
        <f>2*PI()*$B$22*$B$23</f>
        <v/>
      </c>
    </row>
    <row r="27" ht="15" customHeight="1">
      <c r="A27" t="inlineStr">
        <is>
          <t>beta = r_w/L</t>
        </is>
      </c>
      <c r="B27" s="9">
        <f>$B$22/$B$10</f>
        <v/>
      </c>
    </row>
    <row r="28" ht="15" customHeight="1">
      <c r="A28" t="inlineStr">
        <is>
          <t>h = h_o/L</t>
        </is>
      </c>
      <c r="B28" s="9">
        <f>$B$23/$B$10</f>
        <v/>
      </c>
    </row>
    <row r="29" ht="15" customHeight="1">
      <c r="A29" t="inlineStr">
        <is>
          <t>lambda</t>
        </is>
      </c>
      <c r="B29" s="9">
        <f>$B$18*0.3048/$B$10</f>
        <v/>
      </c>
    </row>
    <row r="30" ht="15" customHeight="1">
      <c r="A30" t="inlineStr">
        <is>
          <t>coef alpha</t>
        </is>
      </c>
      <c r="B30" s="9">
        <f>($B$6*(2*$B$28*PI()*$B$10^2)^$B$5)/($B$26*($B$5+1))</f>
        <v/>
      </c>
    </row>
    <row r="31" ht="15" customHeight="1">
      <c r="A31" t="inlineStr">
        <is>
          <t>termo expansao</t>
        </is>
      </c>
      <c r="B31" s="9">
        <f>($B$27+$B$29)^($B$5+1)-$B$27^($B$5+1)</f>
        <v/>
      </c>
    </row>
    <row r="32" ht="15" customHeight="1">
      <c r="A32" t="inlineStr">
        <is>
          <t>SKIN (nao depende da vazao)</t>
        </is>
      </c>
      <c r="B32" s="9">
        <f>-LN(($B$22/0.3048+$B$18)/($B$22/0.3048))</f>
        <v/>
      </c>
    </row>
    <row r="35" ht="15" customHeight="1">
      <c r="A35" s="10" t="inlineStr">
        <is>
          <t>CURVA COMPLETA (Simulation Chart)</t>
        </is>
      </c>
    </row>
    <row r="36" ht="15" customHeight="1">
      <c r="A36" s="11" t="inlineStr">
        <is>
          <t>q0 (gal/(ft.min))</t>
        </is>
      </c>
      <c r="B36" s="11" t="inlineStr">
        <is>
          <t>q_o [m3/s]</t>
        </is>
      </c>
      <c r="C36" s="11" t="inlineStr">
        <is>
          <t>dv (m/s)</t>
        </is>
      </c>
      <c r="D36" s="11" t="inlineStr">
        <is>
          <t>iv (m/s)</t>
        </is>
      </c>
      <c r="E36" s="11" t="inlineStr">
        <is>
          <t>wv (m/s)</t>
        </is>
      </c>
      <c r="F36" s="11" t="inlineStr">
        <is>
          <t>1/Da</t>
        </is>
      </c>
      <c r="G36" s="11" t="inlineStr">
        <is>
          <t>K</t>
        </is>
      </c>
      <c r="H36" s="11" t="inlineStr">
        <is>
          <t>alpha</t>
        </is>
      </c>
      <c r="I36" s="11" t="inlineStr">
        <is>
          <t>V_A [m3]</t>
        </is>
      </c>
      <c r="J36" s="11" t="inlineStr">
        <is>
          <t>V_A (gal/ft)</t>
        </is>
      </c>
      <c r="K36" s="11" t="inlineStr">
        <is>
          <t>tbt (s)</t>
        </is>
      </c>
      <c r="L36" s="11" t="inlineStr">
        <is>
          <t>target</t>
        </is>
      </c>
      <c r="M36" s="11" t="inlineStr">
        <is>
          <t>tau (adimensional, Eq. 41)</t>
        </is>
      </c>
    </row>
    <row r="37" ht="15" customHeight="1">
      <c r="A37" s="6">
        <f>$F$13</f>
        <v/>
      </c>
      <c r="B37" s="6">
        <f>A37*(0.00378541178/60)*$B$17</f>
        <v/>
      </c>
      <c r="C37" s="6">
        <f>B37/$B$26</f>
        <v/>
      </c>
      <c r="D37" s="6">
        <f>C37/$B$14</f>
        <v/>
      </c>
      <c r="E37" s="6">
        <f>C37/($B$6*$B$26^($B$5-1)+$B$7*C37)</f>
        <v/>
      </c>
      <c r="F37" s="6">
        <f>(1/(($B$6/$B$26)*(2*$B$28*PI()*$B$10^2*($B$27+$B$29))^$B$5+$B$7*C37))/G37</f>
        <v/>
      </c>
      <c r="G37" s="6">
        <f>$B$10*$B$25/C37</f>
        <v/>
      </c>
      <c r="H37" s="6">
        <f>$B$30*$B$31+$B$7*C37*$B$29</f>
        <v/>
      </c>
      <c r="I37" s="6">
        <f>IF(G37*H37&gt;700,NA(),$F$10*($B$10*$B$26/($B$15*$B$9))*(EXP(G37*H37)-1)/G37)</f>
        <v/>
      </c>
      <c r="J37" s="6">
        <f>IF(ISNA(I37),NA(),I37*264.172052/$B$17)</f>
        <v/>
      </c>
      <c r="K37" s="6">
        <f>IF(ISNA(I37),NA(),I37/B37)</f>
        <v/>
      </c>
      <c r="L37" s="6">
        <f>$B$18</f>
        <v/>
      </c>
      <c r="M37" s="6">
        <f>IF(ISNA(K37),NA(),K37/$B$11)</f>
        <v/>
      </c>
    </row>
    <row r="38" ht="15" customHeight="1">
      <c r="A38" s="6">
        <f>A37+$F$16</f>
        <v/>
      </c>
      <c r="B38" s="6">
        <f>A38*(0.00378541178/60)*$B$17</f>
        <v/>
      </c>
      <c r="C38" s="6">
        <f>B38/$B$26</f>
        <v/>
      </c>
      <c r="D38" s="6">
        <f>C38/$B$14</f>
        <v/>
      </c>
      <c r="E38" s="6">
        <f>C38/($B$6*$B$26^($B$5-1)+$B$7*C38)</f>
        <v/>
      </c>
      <c r="F38" s="6">
        <f>(1/(($B$6/$B$26)*(2*$B$28*PI()*$B$10^2*($B$27+$B$29))^$B$5+$B$7*C38))/G38</f>
        <v/>
      </c>
      <c r="G38" s="6">
        <f>$B$10*$B$25/C38</f>
        <v/>
      </c>
      <c r="H38" s="6">
        <f>$B$30*$B$31+$B$7*C38*$B$29</f>
        <v/>
      </c>
      <c r="I38" s="6">
        <f>IF(G38*H38&gt;700,NA(),$F$10*($B$10*$B$26/($B$15*$B$9))*(EXP(G38*H38)-1)/G38)</f>
        <v/>
      </c>
      <c r="J38" s="6">
        <f>IF(ISNA(I38),NA(),I38*264.172052/$B$17)</f>
        <v/>
      </c>
      <c r="K38" s="6">
        <f>IF(ISNA(I38),NA(),I38/B38)</f>
        <v/>
      </c>
      <c r="L38" s="6">
        <f>$B$18</f>
        <v/>
      </c>
      <c r="M38" s="6">
        <f>IF(ISNA(K38),NA(),K38/$B$11)</f>
        <v/>
      </c>
    </row>
    <row r="39" ht="15" customHeight="1">
      <c r="A39" s="6">
        <f>A38+$F$16</f>
        <v/>
      </c>
      <c r="B39" s="6">
        <f>A39*(0.00378541178/60)*$B$17</f>
        <v/>
      </c>
      <c r="C39" s="6">
        <f>B39/$B$26</f>
        <v/>
      </c>
      <c r="D39" s="6">
        <f>C39/$B$14</f>
        <v/>
      </c>
      <c r="E39" s="6">
        <f>C39/($B$6*$B$26^($B$5-1)+$B$7*C39)</f>
        <v/>
      </c>
      <c r="F39" s="6">
        <f>(1/(($B$6/$B$26)*(2*$B$28*PI()*$B$10^2*($B$27+$B$29))^$B$5+$B$7*C39))/G39</f>
        <v/>
      </c>
      <c r="G39" s="6">
        <f>$B$10*$B$25/C39</f>
        <v/>
      </c>
      <c r="H39" s="6">
        <f>$B$30*$B$31+$B$7*C39*$B$29</f>
        <v/>
      </c>
      <c r="I39" s="6">
        <f>IF(G39*H39&gt;700,NA(),$F$10*($B$10*$B$26/($B$15*$B$9))*(EXP(G39*H39)-1)/G39)</f>
        <v/>
      </c>
      <c r="J39" s="6">
        <f>IF(ISNA(I39),NA(),I39*264.172052/$B$17)</f>
        <v/>
      </c>
      <c r="K39" s="6">
        <f>IF(ISNA(I39),NA(),I39/B39)</f>
        <v/>
      </c>
      <c r="L39" s="6">
        <f>$B$18</f>
        <v/>
      </c>
      <c r="M39" s="6">
        <f>IF(ISNA(K39),NA(),K39/$B$11)</f>
        <v/>
      </c>
    </row>
    <row r="40" ht="15" customHeight="1">
      <c r="A40" s="6">
        <f>A39+$F$16</f>
        <v/>
      </c>
      <c r="B40" s="6">
        <f>A40*(0.00378541178/60)*$B$17</f>
        <v/>
      </c>
      <c r="C40" s="6">
        <f>B40/$B$26</f>
        <v/>
      </c>
      <c r="D40" s="6">
        <f>C40/$B$14</f>
        <v/>
      </c>
      <c r="E40" s="6">
        <f>C40/($B$6*$B$26^($B$5-1)+$B$7*C40)</f>
        <v/>
      </c>
      <c r="F40" s="6">
        <f>(1/(($B$6/$B$26)*(2*$B$28*PI()*$B$10^2*($B$27+$B$29))^$B$5+$B$7*C40))/G40</f>
        <v/>
      </c>
      <c r="G40" s="6">
        <f>$B$10*$B$25/C40</f>
        <v/>
      </c>
      <c r="H40" s="6">
        <f>$B$30*$B$31+$B$7*C40*$B$29</f>
        <v/>
      </c>
      <c r="I40" s="6">
        <f>IF(G40*H40&gt;700,NA(),$F$10*($B$10*$B$26/($B$15*$B$9))*(EXP(G40*H40)-1)/G40)</f>
        <v/>
      </c>
      <c r="J40" s="6">
        <f>IF(ISNA(I40),NA(),I40*264.172052/$B$17)</f>
        <v/>
      </c>
      <c r="K40" s="6">
        <f>IF(ISNA(I40),NA(),I40/B40)</f>
        <v/>
      </c>
      <c r="L40" s="6">
        <f>$B$18</f>
        <v/>
      </c>
      <c r="M40" s="6">
        <f>IF(ISNA(K40),NA(),K40/$B$11)</f>
        <v/>
      </c>
    </row>
    <row r="41" ht="15" customHeight="1">
      <c r="A41" s="6">
        <f>A40+$F$16</f>
        <v/>
      </c>
      <c r="B41" s="6">
        <f>A41*(0.00378541178/60)*$B$17</f>
        <v/>
      </c>
      <c r="C41" s="6">
        <f>B41/$B$26</f>
        <v/>
      </c>
      <c r="D41" s="6">
        <f>C41/$B$14</f>
        <v/>
      </c>
      <c r="E41" s="6">
        <f>C41/($B$6*$B$26^($B$5-1)+$B$7*C41)</f>
        <v/>
      </c>
      <c r="F41" s="6">
        <f>(1/(($B$6/$B$26)*(2*$B$28*PI()*$B$10^2*($B$27+$B$29))^$B$5+$B$7*C41))/G41</f>
        <v/>
      </c>
      <c r="G41" s="6">
        <f>$B$10*$B$25/C41</f>
        <v/>
      </c>
      <c r="H41" s="6">
        <f>$B$30*$B$31+$B$7*C41*$B$29</f>
        <v/>
      </c>
      <c r="I41" s="6">
        <f>IF(G41*H41&gt;700,NA(),$F$10*($B$10*$B$26/($B$15*$B$9))*(EXP(G41*H41)-1)/G41)</f>
        <v/>
      </c>
      <c r="J41" s="6">
        <f>IF(ISNA(I41),NA(),I41*264.172052/$B$17)</f>
        <v/>
      </c>
      <c r="K41" s="6">
        <f>IF(ISNA(I41),NA(),I41/B41)</f>
        <v/>
      </c>
      <c r="L41" s="6">
        <f>$B$18</f>
        <v/>
      </c>
      <c r="M41" s="6">
        <f>IF(ISNA(K41),NA(),K41/$B$11)</f>
        <v/>
      </c>
    </row>
    <row r="42" ht="15" customHeight="1">
      <c r="A42" s="6">
        <f>A41+$F$16</f>
        <v/>
      </c>
      <c r="B42" s="6">
        <f>A42*(0.00378541178/60)*$B$17</f>
        <v/>
      </c>
      <c r="C42" s="6">
        <f>B42/$B$26</f>
        <v/>
      </c>
      <c r="D42" s="6">
        <f>C42/$B$14</f>
        <v/>
      </c>
      <c r="E42" s="6">
        <f>C42/($B$6*$B$26^($B$5-1)+$B$7*C42)</f>
        <v/>
      </c>
      <c r="F42" s="6">
        <f>(1/(($B$6/$B$26)*(2*$B$28*PI()*$B$10^2*($B$27+$B$29))^$B$5+$B$7*C42))/G42</f>
        <v/>
      </c>
      <c r="G42" s="6">
        <f>$B$10*$B$25/C42</f>
        <v/>
      </c>
      <c r="H42" s="6">
        <f>$B$30*$B$31+$B$7*C42*$B$29</f>
        <v/>
      </c>
      <c r="I42" s="6">
        <f>IF(G42*H42&gt;700,NA(),$F$10*($B$10*$B$26/($B$15*$B$9))*(EXP(G42*H42)-1)/G42)</f>
        <v/>
      </c>
      <c r="J42" s="6">
        <f>IF(ISNA(I42),NA(),I42*264.172052/$B$17)</f>
        <v/>
      </c>
      <c r="K42" s="6">
        <f>IF(ISNA(I42),NA(),I42/B42)</f>
        <v/>
      </c>
      <c r="L42" s="6">
        <f>$B$18</f>
        <v/>
      </c>
      <c r="M42" s="6">
        <f>IF(ISNA(K42),NA(),K42/$B$11)</f>
        <v/>
      </c>
    </row>
    <row r="43" ht="15" customHeight="1">
      <c r="A43" s="6">
        <f>A42+$F$16</f>
        <v/>
      </c>
      <c r="B43" s="6">
        <f>A43*(0.00378541178/60)*$B$17</f>
        <v/>
      </c>
      <c r="C43" s="6">
        <f>B43/$B$26</f>
        <v/>
      </c>
      <c r="D43" s="6">
        <f>C43/$B$14</f>
        <v/>
      </c>
      <c r="E43" s="6">
        <f>C43/($B$6*$B$26^($B$5-1)+$B$7*C43)</f>
        <v/>
      </c>
      <c r="F43" s="6">
        <f>(1/(($B$6/$B$26)*(2*$B$28*PI()*$B$10^2*($B$27+$B$29))^$B$5+$B$7*C43))/G43</f>
        <v/>
      </c>
      <c r="G43" s="6">
        <f>$B$10*$B$25/C43</f>
        <v/>
      </c>
      <c r="H43" s="6">
        <f>$B$30*$B$31+$B$7*C43*$B$29</f>
        <v/>
      </c>
      <c r="I43" s="6">
        <f>IF(G43*H43&gt;700,NA(),$F$10*($B$10*$B$26/($B$15*$B$9))*(EXP(G43*H43)-1)/G43)</f>
        <v/>
      </c>
      <c r="J43" s="6">
        <f>IF(ISNA(I43),NA(),I43*264.172052/$B$17)</f>
        <v/>
      </c>
      <c r="K43" s="6">
        <f>IF(ISNA(I43),NA(),I43/B43)</f>
        <v/>
      </c>
      <c r="L43" s="6">
        <f>$B$18</f>
        <v/>
      </c>
      <c r="M43" s="6">
        <f>IF(ISNA(K43),NA(),K43/$B$11)</f>
        <v/>
      </c>
    </row>
    <row r="44" ht="15" customHeight="1">
      <c r="A44" s="6">
        <f>A43+$F$16</f>
        <v/>
      </c>
      <c r="B44" s="6">
        <f>A44*(0.00378541178/60)*$B$17</f>
        <v/>
      </c>
      <c r="C44" s="6">
        <f>B44/$B$26</f>
        <v/>
      </c>
      <c r="D44" s="6">
        <f>C44/$B$14</f>
        <v/>
      </c>
      <c r="E44" s="6">
        <f>C44/($B$6*$B$26^($B$5-1)+$B$7*C44)</f>
        <v/>
      </c>
      <c r="F44" s="6">
        <f>(1/(($B$6/$B$26)*(2*$B$28*PI()*$B$10^2*($B$27+$B$29))^$B$5+$B$7*C44))/G44</f>
        <v/>
      </c>
      <c r="G44" s="6">
        <f>$B$10*$B$25/C44</f>
        <v/>
      </c>
      <c r="H44" s="6">
        <f>$B$30*$B$31+$B$7*C44*$B$29</f>
        <v/>
      </c>
      <c r="I44" s="6">
        <f>IF(G44*H44&gt;700,NA(),$F$10*($B$10*$B$26/($B$15*$B$9))*(EXP(G44*H44)-1)/G44)</f>
        <v/>
      </c>
      <c r="J44" s="6">
        <f>IF(ISNA(I44),NA(),I44*264.172052/$B$17)</f>
        <v/>
      </c>
      <c r="K44" s="6">
        <f>IF(ISNA(I44),NA(),I44/B44)</f>
        <v/>
      </c>
      <c r="L44" s="6">
        <f>$B$18</f>
        <v/>
      </c>
      <c r="M44" s="6">
        <f>IF(ISNA(K44),NA(),K44/$B$11)</f>
        <v/>
      </c>
    </row>
    <row r="45" ht="15" customHeight="1">
      <c r="A45" s="6">
        <f>A44+$F$16</f>
        <v/>
      </c>
      <c r="B45" s="6">
        <f>A45*(0.00378541178/60)*$B$17</f>
        <v/>
      </c>
      <c r="C45" s="6">
        <f>B45/$B$26</f>
        <v/>
      </c>
      <c r="D45" s="6">
        <f>C45/$B$14</f>
        <v/>
      </c>
      <c r="E45" s="6">
        <f>C45/($B$6*$B$26^($B$5-1)+$B$7*C45)</f>
        <v/>
      </c>
      <c r="F45" s="6">
        <f>(1/(($B$6/$B$26)*(2*$B$28*PI()*$B$10^2*($B$27+$B$29))^$B$5+$B$7*C45))/G45</f>
        <v/>
      </c>
      <c r="G45" s="6">
        <f>$B$10*$B$25/C45</f>
        <v/>
      </c>
      <c r="H45" s="6">
        <f>$B$30*$B$31+$B$7*C45*$B$29</f>
        <v/>
      </c>
      <c r="I45" s="6">
        <f>IF(G45*H45&gt;700,NA(),$F$10*($B$10*$B$26/($B$15*$B$9))*(EXP(G45*H45)-1)/G45)</f>
        <v/>
      </c>
      <c r="J45" s="6">
        <f>IF(ISNA(I45),NA(),I45*264.172052/$B$17)</f>
        <v/>
      </c>
      <c r="K45" s="6">
        <f>IF(ISNA(I45),NA(),I45/B45)</f>
        <v/>
      </c>
      <c r="L45" s="6">
        <f>$B$18</f>
        <v/>
      </c>
      <c r="M45" s="6">
        <f>IF(ISNA(K45),NA(),K45/$B$11)</f>
        <v/>
      </c>
    </row>
    <row r="46" ht="15" customHeight="1">
      <c r="A46" s="6">
        <f>A45+$F$16</f>
        <v/>
      </c>
      <c r="B46" s="6">
        <f>A46*(0.00378541178/60)*$B$17</f>
        <v/>
      </c>
      <c r="C46" s="6">
        <f>B46/$B$26</f>
        <v/>
      </c>
      <c r="D46" s="6">
        <f>C46/$B$14</f>
        <v/>
      </c>
      <c r="E46" s="6">
        <f>C46/($B$6*$B$26^($B$5-1)+$B$7*C46)</f>
        <v/>
      </c>
      <c r="F46" s="6">
        <f>(1/(($B$6/$B$26)*(2*$B$28*PI()*$B$10^2*($B$27+$B$29))^$B$5+$B$7*C46))/G46</f>
        <v/>
      </c>
      <c r="G46" s="6">
        <f>$B$10*$B$25/C46</f>
        <v/>
      </c>
      <c r="H46" s="6">
        <f>$B$30*$B$31+$B$7*C46*$B$29</f>
        <v/>
      </c>
      <c r="I46" s="6">
        <f>IF(G46*H46&gt;700,NA(),$F$10*($B$10*$B$26/($B$15*$B$9))*(EXP(G46*H46)-1)/G46)</f>
        <v/>
      </c>
      <c r="J46" s="6">
        <f>IF(ISNA(I46),NA(),I46*264.172052/$B$17)</f>
        <v/>
      </c>
      <c r="K46" s="6">
        <f>IF(ISNA(I46),NA(),I46/B46)</f>
        <v/>
      </c>
      <c r="L46" s="6">
        <f>$B$18</f>
        <v/>
      </c>
      <c r="M46" s="6">
        <f>IF(ISNA(K46),NA(),K46/$B$11)</f>
        <v/>
      </c>
    </row>
    <row r="47" ht="15" customHeight="1">
      <c r="A47" s="6">
        <f>A46+$F$16</f>
        <v/>
      </c>
      <c r="B47" s="6">
        <f>A47*(0.00378541178/60)*$B$17</f>
        <v/>
      </c>
      <c r="C47" s="6">
        <f>B47/$B$26</f>
        <v/>
      </c>
      <c r="D47" s="6">
        <f>C47/$B$14</f>
        <v/>
      </c>
      <c r="E47" s="6">
        <f>C47/($B$6*$B$26^($B$5-1)+$B$7*C47)</f>
        <v/>
      </c>
      <c r="F47" s="6">
        <f>(1/(($B$6/$B$26)*(2*$B$28*PI()*$B$10^2*($B$27+$B$29))^$B$5+$B$7*C47))/G47</f>
        <v/>
      </c>
      <c r="G47" s="6">
        <f>$B$10*$B$25/C47</f>
        <v/>
      </c>
      <c r="H47" s="6">
        <f>$B$30*$B$31+$B$7*C47*$B$29</f>
        <v/>
      </c>
      <c r="I47" s="6">
        <f>IF(G47*H47&gt;700,NA(),$F$10*($B$10*$B$26/($B$15*$B$9))*(EXP(G47*H47)-1)/G47)</f>
        <v/>
      </c>
      <c r="J47" s="6">
        <f>IF(ISNA(I47),NA(),I47*264.172052/$B$17)</f>
        <v/>
      </c>
      <c r="K47" s="6">
        <f>IF(ISNA(I47),NA(),I47/B47)</f>
        <v/>
      </c>
      <c r="L47" s="6">
        <f>$B$18</f>
        <v/>
      </c>
      <c r="M47" s="6">
        <f>IF(ISNA(K47),NA(),K47/$B$11)</f>
        <v/>
      </c>
    </row>
    <row r="48" ht="15" customHeight="1">
      <c r="A48" s="6">
        <f>A47+$F$16</f>
        <v/>
      </c>
      <c r="B48" s="6">
        <f>A48*(0.00378541178/60)*$B$17</f>
        <v/>
      </c>
      <c r="C48" s="6">
        <f>B48/$B$26</f>
        <v/>
      </c>
      <c r="D48" s="6">
        <f>C48/$B$14</f>
        <v/>
      </c>
      <c r="E48" s="6">
        <f>C48/($B$6*$B$26^($B$5-1)+$B$7*C48)</f>
        <v/>
      </c>
      <c r="F48" s="6">
        <f>(1/(($B$6/$B$26)*(2*$B$28*PI()*$B$10^2*($B$27+$B$29))^$B$5+$B$7*C48))/G48</f>
        <v/>
      </c>
      <c r="G48" s="6">
        <f>$B$10*$B$25/C48</f>
        <v/>
      </c>
      <c r="H48" s="6">
        <f>$B$30*$B$31+$B$7*C48*$B$29</f>
        <v/>
      </c>
      <c r="I48" s="6">
        <f>IF(G48*H48&gt;700,NA(),$F$10*($B$10*$B$26/($B$15*$B$9))*(EXP(G48*H48)-1)/G48)</f>
        <v/>
      </c>
      <c r="J48" s="6">
        <f>IF(ISNA(I48),NA(),I48*264.172052/$B$17)</f>
        <v/>
      </c>
      <c r="K48" s="6">
        <f>IF(ISNA(I48),NA(),I48/B48)</f>
        <v/>
      </c>
      <c r="L48" s="6">
        <f>$B$18</f>
        <v/>
      </c>
      <c r="M48" s="6">
        <f>IF(ISNA(K48),NA(),K48/$B$11)</f>
        <v/>
      </c>
    </row>
    <row r="49" ht="15" customHeight="1">
      <c r="A49" s="6">
        <f>A48+$F$16</f>
        <v/>
      </c>
      <c r="B49" s="6">
        <f>A49*(0.00378541178/60)*$B$17</f>
        <v/>
      </c>
      <c r="C49" s="6">
        <f>B49/$B$26</f>
        <v/>
      </c>
      <c r="D49" s="6">
        <f>C49/$B$14</f>
        <v/>
      </c>
      <c r="E49" s="6">
        <f>C49/($B$6*$B$26^($B$5-1)+$B$7*C49)</f>
        <v/>
      </c>
      <c r="F49" s="6">
        <f>(1/(($B$6/$B$26)*(2*$B$28*PI()*$B$10^2*($B$27+$B$29))^$B$5+$B$7*C49))/G49</f>
        <v/>
      </c>
      <c r="G49" s="6">
        <f>$B$10*$B$25/C49</f>
        <v/>
      </c>
      <c r="H49" s="6">
        <f>$B$30*$B$31+$B$7*C49*$B$29</f>
        <v/>
      </c>
      <c r="I49" s="6">
        <f>IF(G49*H49&gt;700,NA(),$F$10*($B$10*$B$26/($B$15*$B$9))*(EXP(G49*H49)-1)/G49)</f>
        <v/>
      </c>
      <c r="J49" s="6">
        <f>IF(ISNA(I49),NA(),I49*264.172052/$B$17)</f>
        <v/>
      </c>
      <c r="K49" s="6">
        <f>IF(ISNA(I49),NA(),I49/B49)</f>
        <v/>
      </c>
      <c r="L49" s="6">
        <f>$B$18</f>
        <v/>
      </c>
      <c r="M49" s="6">
        <f>IF(ISNA(K49),NA(),K49/$B$11)</f>
        <v/>
      </c>
    </row>
    <row r="50" ht="15" customHeight="1">
      <c r="A50" s="6">
        <f>A49+$F$16</f>
        <v/>
      </c>
      <c r="B50" s="6">
        <f>A50*(0.00378541178/60)*$B$17</f>
        <v/>
      </c>
      <c r="C50" s="6">
        <f>B50/$B$26</f>
        <v/>
      </c>
      <c r="D50" s="6">
        <f>C50/$B$14</f>
        <v/>
      </c>
      <c r="E50" s="6">
        <f>C50/($B$6*$B$26^($B$5-1)+$B$7*C50)</f>
        <v/>
      </c>
      <c r="F50" s="6">
        <f>(1/(($B$6/$B$26)*(2*$B$28*PI()*$B$10^2*($B$27+$B$29))^$B$5+$B$7*C50))/G50</f>
        <v/>
      </c>
      <c r="G50" s="6">
        <f>$B$10*$B$25/C50</f>
        <v/>
      </c>
      <c r="H50" s="6">
        <f>$B$30*$B$31+$B$7*C50*$B$29</f>
        <v/>
      </c>
      <c r="I50" s="6">
        <f>IF(G50*H50&gt;700,NA(),$F$10*($B$10*$B$26/($B$15*$B$9))*(EXP(G50*H50)-1)/G50)</f>
        <v/>
      </c>
      <c r="J50" s="6">
        <f>IF(ISNA(I50),NA(),I50*264.172052/$B$17)</f>
        <v/>
      </c>
      <c r="K50" s="6">
        <f>IF(ISNA(I50),NA(),I50/B50)</f>
        <v/>
      </c>
      <c r="L50" s="6">
        <f>$B$18</f>
        <v/>
      </c>
      <c r="M50" s="6">
        <f>IF(ISNA(K50),NA(),K50/$B$11)</f>
        <v/>
      </c>
    </row>
    <row r="51" ht="15" customHeight="1">
      <c r="A51" s="6">
        <f>A50+$F$16</f>
        <v/>
      </c>
      <c r="B51" s="6">
        <f>A51*(0.00378541178/60)*$B$17</f>
        <v/>
      </c>
      <c r="C51" s="6">
        <f>B51/$B$26</f>
        <v/>
      </c>
      <c r="D51" s="6">
        <f>C51/$B$14</f>
        <v/>
      </c>
      <c r="E51" s="6">
        <f>C51/($B$6*$B$26^($B$5-1)+$B$7*C51)</f>
        <v/>
      </c>
      <c r="F51" s="6">
        <f>(1/(($B$6/$B$26)*(2*$B$28*PI()*$B$10^2*($B$27+$B$29))^$B$5+$B$7*C51))/G51</f>
        <v/>
      </c>
      <c r="G51" s="6">
        <f>$B$10*$B$25/C51</f>
        <v/>
      </c>
      <c r="H51" s="6">
        <f>$B$30*$B$31+$B$7*C51*$B$29</f>
        <v/>
      </c>
      <c r="I51" s="6">
        <f>IF(G51*H51&gt;700,NA(),$F$10*($B$10*$B$26/($B$15*$B$9))*(EXP(G51*H51)-1)/G51)</f>
        <v/>
      </c>
      <c r="J51" s="6">
        <f>IF(ISNA(I51),NA(),I51*264.172052/$B$17)</f>
        <v/>
      </c>
      <c r="K51" s="6">
        <f>IF(ISNA(I51),NA(),I51/B51)</f>
        <v/>
      </c>
      <c r="L51" s="6">
        <f>$B$18</f>
        <v/>
      </c>
      <c r="M51" s="6">
        <f>IF(ISNA(K51),NA(),K51/$B$11)</f>
        <v/>
      </c>
    </row>
    <row r="52" ht="15" customHeight="1">
      <c r="A52" s="6">
        <f>A51+$F$16</f>
        <v/>
      </c>
      <c r="B52" s="6">
        <f>A52*(0.00378541178/60)*$B$17</f>
        <v/>
      </c>
      <c r="C52" s="6">
        <f>B52/$B$26</f>
        <v/>
      </c>
      <c r="D52" s="6">
        <f>C52/$B$14</f>
        <v/>
      </c>
      <c r="E52" s="6">
        <f>C52/($B$6*$B$26^($B$5-1)+$B$7*C52)</f>
        <v/>
      </c>
      <c r="F52" s="6">
        <f>(1/(($B$6/$B$26)*(2*$B$28*PI()*$B$10^2*($B$27+$B$29))^$B$5+$B$7*C52))/G52</f>
        <v/>
      </c>
      <c r="G52" s="6">
        <f>$B$10*$B$25/C52</f>
        <v/>
      </c>
      <c r="H52" s="6">
        <f>$B$30*$B$31+$B$7*C52*$B$29</f>
        <v/>
      </c>
      <c r="I52" s="6">
        <f>IF(G52*H52&gt;700,NA(),$F$10*($B$10*$B$26/($B$15*$B$9))*(EXP(G52*H52)-1)/G52)</f>
        <v/>
      </c>
      <c r="J52" s="6">
        <f>IF(ISNA(I52),NA(),I52*264.172052/$B$17)</f>
        <v/>
      </c>
      <c r="K52" s="6">
        <f>IF(ISNA(I52),NA(),I52/B52)</f>
        <v/>
      </c>
      <c r="L52" s="6">
        <f>$B$18</f>
        <v/>
      </c>
      <c r="M52" s="6">
        <f>IF(ISNA(K52),NA(),K52/$B$11)</f>
        <v/>
      </c>
    </row>
    <row r="53" ht="15" customHeight="1">
      <c r="A53" s="6">
        <f>A52+$F$16</f>
        <v/>
      </c>
      <c r="B53" s="6">
        <f>A53*(0.00378541178/60)*$B$17</f>
        <v/>
      </c>
      <c r="C53" s="6">
        <f>B53/$B$26</f>
        <v/>
      </c>
      <c r="D53" s="6">
        <f>C53/$B$14</f>
        <v/>
      </c>
      <c r="E53" s="6">
        <f>C53/($B$6*$B$26^($B$5-1)+$B$7*C53)</f>
        <v/>
      </c>
      <c r="F53" s="6">
        <f>(1/(($B$6/$B$26)*(2*$B$28*PI()*$B$10^2*($B$27+$B$29))^$B$5+$B$7*C53))/G53</f>
        <v/>
      </c>
      <c r="G53" s="6">
        <f>$B$10*$B$25/C53</f>
        <v/>
      </c>
      <c r="H53" s="6">
        <f>$B$30*$B$31+$B$7*C53*$B$29</f>
        <v/>
      </c>
      <c r="I53" s="6">
        <f>IF(G53*H53&gt;700,NA(),$F$10*($B$10*$B$26/($B$15*$B$9))*(EXP(G53*H53)-1)/G53)</f>
        <v/>
      </c>
      <c r="J53" s="6">
        <f>IF(ISNA(I53),NA(),I53*264.172052/$B$17)</f>
        <v/>
      </c>
      <c r="K53" s="6">
        <f>IF(ISNA(I53),NA(),I53/B53)</f>
        <v/>
      </c>
      <c r="L53" s="6">
        <f>$B$18</f>
        <v/>
      </c>
      <c r="M53" s="6">
        <f>IF(ISNA(K53),NA(),K53/$B$11)</f>
        <v/>
      </c>
    </row>
    <row r="54" ht="15" customHeight="1">
      <c r="A54" s="6">
        <f>A53+$F$16</f>
        <v/>
      </c>
      <c r="B54" s="6">
        <f>A54*(0.00378541178/60)*$B$17</f>
        <v/>
      </c>
      <c r="C54" s="6">
        <f>B54/$B$26</f>
        <v/>
      </c>
      <c r="D54" s="6">
        <f>C54/$B$14</f>
        <v/>
      </c>
      <c r="E54" s="6">
        <f>C54/($B$6*$B$26^($B$5-1)+$B$7*C54)</f>
        <v/>
      </c>
      <c r="F54" s="6">
        <f>(1/(($B$6/$B$26)*(2*$B$28*PI()*$B$10^2*($B$27+$B$29))^$B$5+$B$7*C54))/G54</f>
        <v/>
      </c>
      <c r="G54" s="6">
        <f>$B$10*$B$25/C54</f>
        <v/>
      </c>
      <c r="H54" s="6">
        <f>$B$30*$B$31+$B$7*C54*$B$29</f>
        <v/>
      </c>
      <c r="I54" s="6">
        <f>IF(G54*H54&gt;700,NA(),$F$10*($B$10*$B$26/($B$15*$B$9))*(EXP(G54*H54)-1)/G54)</f>
        <v/>
      </c>
      <c r="J54" s="6">
        <f>IF(ISNA(I54),NA(),I54*264.172052/$B$17)</f>
        <v/>
      </c>
      <c r="K54" s="6">
        <f>IF(ISNA(I54),NA(),I54/B54)</f>
        <v/>
      </c>
      <c r="L54" s="6">
        <f>$B$18</f>
        <v/>
      </c>
      <c r="M54" s="6">
        <f>IF(ISNA(K54),NA(),K54/$B$11)</f>
        <v/>
      </c>
    </row>
    <row r="55" ht="15" customHeight="1">
      <c r="A55" s="6">
        <f>A54+$F$16</f>
        <v/>
      </c>
      <c r="B55" s="6">
        <f>A55*(0.00378541178/60)*$B$17</f>
        <v/>
      </c>
      <c r="C55" s="6">
        <f>B55/$B$26</f>
        <v/>
      </c>
      <c r="D55" s="6">
        <f>C55/$B$14</f>
        <v/>
      </c>
      <c r="E55" s="6">
        <f>C55/($B$6*$B$26^($B$5-1)+$B$7*C55)</f>
        <v/>
      </c>
      <c r="F55" s="6">
        <f>(1/(($B$6/$B$26)*(2*$B$28*PI()*$B$10^2*($B$27+$B$29))^$B$5+$B$7*C55))/G55</f>
        <v/>
      </c>
      <c r="G55" s="6">
        <f>$B$10*$B$25/C55</f>
        <v/>
      </c>
      <c r="H55" s="6">
        <f>$B$30*$B$31+$B$7*C55*$B$29</f>
        <v/>
      </c>
      <c r="I55" s="6">
        <f>IF(G55*H55&gt;700,NA(),$F$10*($B$10*$B$26/($B$15*$B$9))*(EXP(G55*H55)-1)/G55)</f>
        <v/>
      </c>
      <c r="J55" s="6">
        <f>IF(ISNA(I55),NA(),I55*264.172052/$B$17)</f>
        <v/>
      </c>
      <c r="K55" s="6">
        <f>IF(ISNA(I55),NA(),I55/B55)</f>
        <v/>
      </c>
      <c r="L55" s="6">
        <f>$B$18</f>
        <v/>
      </c>
      <c r="M55" s="6">
        <f>IF(ISNA(K55),NA(),K55/$B$11)</f>
        <v/>
      </c>
    </row>
    <row r="56" ht="15" customHeight="1">
      <c r="A56" s="6">
        <f>A55+$F$16</f>
        <v/>
      </c>
      <c r="B56" s="6">
        <f>A56*(0.00378541178/60)*$B$17</f>
        <v/>
      </c>
      <c r="C56" s="6">
        <f>B56/$B$26</f>
        <v/>
      </c>
      <c r="D56" s="6">
        <f>C56/$B$14</f>
        <v/>
      </c>
      <c r="E56" s="6">
        <f>C56/($B$6*$B$26^($B$5-1)+$B$7*C56)</f>
        <v/>
      </c>
      <c r="F56" s="6">
        <f>(1/(($B$6/$B$26)*(2*$B$28*PI()*$B$10^2*($B$27+$B$29))^$B$5+$B$7*C56))/G56</f>
        <v/>
      </c>
      <c r="G56" s="6">
        <f>$B$10*$B$25/C56</f>
        <v/>
      </c>
      <c r="H56" s="6">
        <f>$B$30*$B$31+$B$7*C56*$B$29</f>
        <v/>
      </c>
      <c r="I56" s="6">
        <f>IF(G56*H56&gt;700,NA(),$F$10*($B$10*$B$26/($B$15*$B$9))*(EXP(G56*H56)-1)/G56)</f>
        <v/>
      </c>
      <c r="J56" s="6">
        <f>IF(ISNA(I56),NA(),I56*264.172052/$B$17)</f>
        <v/>
      </c>
      <c r="K56" s="6">
        <f>IF(ISNA(I56),NA(),I56/B56)</f>
        <v/>
      </c>
      <c r="L56" s="6">
        <f>$B$18</f>
        <v/>
      </c>
      <c r="M56" s="6">
        <f>IF(ISNA(K56),NA(),K56/$B$11)</f>
        <v/>
      </c>
    </row>
    <row r="57" ht="15" customHeight="1">
      <c r="A57" s="6">
        <f>A56+$F$16</f>
        <v/>
      </c>
      <c r="B57" s="6">
        <f>A57*(0.00378541178/60)*$B$17</f>
        <v/>
      </c>
      <c r="C57" s="6">
        <f>B57/$B$26</f>
        <v/>
      </c>
      <c r="D57" s="6">
        <f>C57/$B$14</f>
        <v/>
      </c>
      <c r="E57" s="6">
        <f>C57/($B$6*$B$26^($B$5-1)+$B$7*C57)</f>
        <v/>
      </c>
      <c r="F57" s="6">
        <f>(1/(($B$6/$B$26)*(2*$B$28*PI()*$B$10^2*($B$27+$B$29))^$B$5+$B$7*C57))/G57</f>
        <v/>
      </c>
      <c r="G57" s="6">
        <f>$B$10*$B$25/C57</f>
        <v/>
      </c>
      <c r="H57" s="6">
        <f>$B$30*$B$31+$B$7*C57*$B$29</f>
        <v/>
      </c>
      <c r="I57" s="6">
        <f>IF(G57*H57&gt;700,NA(),$F$10*($B$10*$B$26/($B$15*$B$9))*(EXP(G57*H57)-1)/G57)</f>
        <v/>
      </c>
      <c r="J57" s="6">
        <f>IF(ISNA(I57),NA(),I57*264.172052/$B$17)</f>
        <v/>
      </c>
      <c r="K57" s="6">
        <f>IF(ISNA(I57),NA(),I57/B57)</f>
        <v/>
      </c>
      <c r="L57" s="6">
        <f>$B$18</f>
        <v/>
      </c>
      <c r="M57" s="6">
        <f>IF(ISNA(K57),NA(),K57/$B$11)</f>
        <v/>
      </c>
    </row>
    <row r="58" ht="15" customHeight="1">
      <c r="A58" s="6">
        <f>A57+$F$16</f>
        <v/>
      </c>
      <c r="B58" s="6">
        <f>A58*(0.00378541178/60)*$B$17</f>
        <v/>
      </c>
      <c r="C58" s="6">
        <f>B58/$B$26</f>
        <v/>
      </c>
      <c r="D58" s="6">
        <f>C58/$B$14</f>
        <v/>
      </c>
      <c r="E58" s="6">
        <f>C58/($B$6*$B$26^($B$5-1)+$B$7*C58)</f>
        <v/>
      </c>
      <c r="F58" s="6">
        <f>(1/(($B$6/$B$26)*(2*$B$28*PI()*$B$10^2*($B$27+$B$29))^$B$5+$B$7*C58))/G58</f>
        <v/>
      </c>
      <c r="G58" s="6">
        <f>$B$10*$B$25/C58</f>
        <v/>
      </c>
      <c r="H58" s="6">
        <f>$B$30*$B$31+$B$7*C58*$B$29</f>
        <v/>
      </c>
      <c r="I58" s="6">
        <f>IF(G58*H58&gt;700,NA(),$F$10*($B$10*$B$26/($B$15*$B$9))*(EXP(G58*H58)-1)/G58)</f>
        <v/>
      </c>
      <c r="J58" s="6">
        <f>IF(ISNA(I58),NA(),I58*264.172052/$B$17)</f>
        <v/>
      </c>
      <c r="K58" s="6">
        <f>IF(ISNA(I58),NA(),I58/B58)</f>
        <v/>
      </c>
      <c r="L58" s="6">
        <f>$B$18</f>
        <v/>
      </c>
      <c r="M58" s="6">
        <f>IF(ISNA(K58),NA(),K58/$B$11)</f>
        <v/>
      </c>
    </row>
    <row r="59" ht="15" customHeight="1">
      <c r="A59" s="6">
        <f>A58+$F$16</f>
        <v/>
      </c>
      <c r="B59" s="6">
        <f>A59*(0.00378541178/60)*$B$17</f>
        <v/>
      </c>
      <c r="C59" s="6">
        <f>B59/$B$26</f>
        <v/>
      </c>
      <c r="D59" s="6">
        <f>C59/$B$14</f>
        <v/>
      </c>
      <c r="E59" s="6">
        <f>C59/($B$6*$B$26^($B$5-1)+$B$7*C59)</f>
        <v/>
      </c>
      <c r="F59" s="6">
        <f>(1/(($B$6/$B$26)*(2*$B$28*PI()*$B$10^2*($B$27+$B$29))^$B$5+$B$7*C59))/G59</f>
        <v/>
      </c>
      <c r="G59" s="6">
        <f>$B$10*$B$25/C59</f>
        <v/>
      </c>
      <c r="H59" s="6">
        <f>$B$30*$B$31+$B$7*C59*$B$29</f>
        <v/>
      </c>
      <c r="I59" s="6">
        <f>IF(G59*H59&gt;700,NA(),$F$10*($B$10*$B$26/($B$15*$B$9))*(EXP(G59*H59)-1)/G59)</f>
        <v/>
      </c>
      <c r="J59" s="6">
        <f>IF(ISNA(I59),NA(),I59*264.172052/$B$17)</f>
        <v/>
      </c>
      <c r="K59" s="6">
        <f>IF(ISNA(I59),NA(),I59/B59)</f>
        <v/>
      </c>
      <c r="L59" s="6">
        <f>$B$18</f>
        <v/>
      </c>
      <c r="M59" s="6">
        <f>IF(ISNA(K59),NA(),K59/$B$11)</f>
        <v/>
      </c>
    </row>
    <row r="60" ht="15" customHeight="1">
      <c r="A60" s="6">
        <f>A59+$F$16</f>
        <v/>
      </c>
      <c r="B60" s="6">
        <f>A60*(0.00378541178/60)*$B$17</f>
        <v/>
      </c>
      <c r="C60" s="6">
        <f>B60/$B$26</f>
        <v/>
      </c>
      <c r="D60" s="6">
        <f>C60/$B$14</f>
        <v/>
      </c>
      <c r="E60" s="6">
        <f>C60/($B$6*$B$26^($B$5-1)+$B$7*C60)</f>
        <v/>
      </c>
      <c r="F60" s="6">
        <f>(1/(($B$6/$B$26)*(2*$B$28*PI()*$B$10^2*($B$27+$B$29))^$B$5+$B$7*C60))/G60</f>
        <v/>
      </c>
      <c r="G60" s="6">
        <f>$B$10*$B$25/C60</f>
        <v/>
      </c>
      <c r="H60" s="6">
        <f>$B$30*$B$31+$B$7*C60*$B$29</f>
        <v/>
      </c>
      <c r="I60" s="6">
        <f>IF(G60*H60&gt;700,NA(),$F$10*($B$10*$B$26/($B$15*$B$9))*(EXP(G60*H60)-1)/G60)</f>
        <v/>
      </c>
      <c r="J60" s="6">
        <f>IF(ISNA(I60),NA(),I60*264.172052/$B$17)</f>
        <v/>
      </c>
      <c r="K60" s="6">
        <f>IF(ISNA(I60),NA(),I60/B60)</f>
        <v/>
      </c>
      <c r="L60" s="6">
        <f>$B$18</f>
        <v/>
      </c>
      <c r="M60" s="6">
        <f>IF(ISNA(K60),NA(),K60/$B$11)</f>
        <v/>
      </c>
    </row>
    <row r="61" ht="15" customHeight="1">
      <c r="A61" s="6">
        <f>A60+$F$16</f>
        <v/>
      </c>
      <c r="B61" s="6">
        <f>A61*(0.00378541178/60)*$B$17</f>
        <v/>
      </c>
      <c r="C61" s="6">
        <f>B61/$B$26</f>
        <v/>
      </c>
      <c r="D61" s="6">
        <f>C61/$B$14</f>
        <v/>
      </c>
      <c r="E61" s="6">
        <f>C61/($B$6*$B$26^($B$5-1)+$B$7*C61)</f>
        <v/>
      </c>
      <c r="F61" s="6">
        <f>(1/(($B$6/$B$26)*(2*$B$28*PI()*$B$10^2*($B$27+$B$29))^$B$5+$B$7*C61))/G61</f>
        <v/>
      </c>
      <c r="G61" s="6">
        <f>$B$10*$B$25/C61</f>
        <v/>
      </c>
      <c r="H61" s="6">
        <f>$B$30*$B$31+$B$7*C61*$B$29</f>
        <v/>
      </c>
      <c r="I61" s="6">
        <f>IF(G61*H61&gt;700,NA(),$F$10*($B$10*$B$26/($B$15*$B$9))*(EXP(G61*H61)-1)/G61)</f>
        <v/>
      </c>
      <c r="J61" s="6">
        <f>IF(ISNA(I61),NA(),I61*264.172052/$B$17)</f>
        <v/>
      </c>
      <c r="K61" s="6">
        <f>IF(ISNA(I61),NA(),I61/B61)</f>
        <v/>
      </c>
      <c r="L61" s="6">
        <f>$B$18</f>
        <v/>
      </c>
      <c r="M61" s="6">
        <f>IF(ISNA(K61),NA(),K61/$B$11)</f>
        <v/>
      </c>
    </row>
    <row r="62" ht="15" customHeight="1">
      <c r="A62" s="6">
        <f>A61+$F$16</f>
        <v/>
      </c>
      <c r="B62" s="6">
        <f>A62*(0.00378541178/60)*$B$17</f>
        <v/>
      </c>
      <c r="C62" s="6">
        <f>B62/$B$26</f>
        <v/>
      </c>
      <c r="D62" s="6">
        <f>C62/$B$14</f>
        <v/>
      </c>
      <c r="E62" s="6">
        <f>C62/($B$6*$B$26^($B$5-1)+$B$7*C62)</f>
        <v/>
      </c>
      <c r="F62" s="6">
        <f>(1/(($B$6/$B$26)*(2*$B$28*PI()*$B$10^2*($B$27+$B$29))^$B$5+$B$7*C62))/G62</f>
        <v/>
      </c>
      <c r="G62" s="6">
        <f>$B$10*$B$25/C62</f>
        <v/>
      </c>
      <c r="H62" s="6">
        <f>$B$30*$B$31+$B$7*C62*$B$29</f>
        <v/>
      </c>
      <c r="I62" s="6">
        <f>IF(G62*H62&gt;700,NA(),$F$10*($B$10*$B$26/($B$15*$B$9))*(EXP(G62*H62)-1)/G62)</f>
        <v/>
      </c>
      <c r="J62" s="6">
        <f>IF(ISNA(I62),NA(),I62*264.172052/$B$17)</f>
        <v/>
      </c>
      <c r="K62" s="6">
        <f>IF(ISNA(I62),NA(),I62/B62)</f>
        <v/>
      </c>
      <c r="L62" s="6">
        <f>$B$18</f>
        <v/>
      </c>
      <c r="M62" s="6">
        <f>IF(ISNA(K62),NA(),K62/$B$11)</f>
        <v/>
      </c>
    </row>
    <row r="63" ht="15" customHeight="1">
      <c r="A63" s="6">
        <f>A62+$F$16</f>
        <v/>
      </c>
      <c r="B63" s="6">
        <f>A63*(0.00378541178/60)*$B$17</f>
        <v/>
      </c>
      <c r="C63" s="6">
        <f>B63/$B$26</f>
        <v/>
      </c>
      <c r="D63" s="6">
        <f>C63/$B$14</f>
        <v/>
      </c>
      <c r="E63" s="6">
        <f>C63/($B$6*$B$26^($B$5-1)+$B$7*C63)</f>
        <v/>
      </c>
      <c r="F63" s="6">
        <f>(1/(($B$6/$B$26)*(2*$B$28*PI()*$B$10^2*($B$27+$B$29))^$B$5+$B$7*C63))/G63</f>
        <v/>
      </c>
      <c r="G63" s="6">
        <f>$B$10*$B$25/C63</f>
        <v/>
      </c>
      <c r="H63" s="6">
        <f>$B$30*$B$31+$B$7*C63*$B$29</f>
        <v/>
      </c>
      <c r="I63" s="6">
        <f>IF(G63*H63&gt;700,NA(),$F$10*($B$10*$B$26/($B$15*$B$9))*(EXP(G63*H63)-1)/G63)</f>
        <v/>
      </c>
      <c r="J63" s="6">
        <f>IF(ISNA(I63),NA(),I63*264.172052/$B$17)</f>
        <v/>
      </c>
      <c r="K63" s="6">
        <f>IF(ISNA(I63),NA(),I63/B63)</f>
        <v/>
      </c>
      <c r="L63" s="6">
        <f>$B$18</f>
        <v/>
      </c>
      <c r="M63" s="6">
        <f>IF(ISNA(K63),NA(),K63/$B$11)</f>
        <v/>
      </c>
    </row>
    <row r="64" ht="15" customHeight="1">
      <c r="A64" s="6">
        <f>A63+$F$16</f>
        <v/>
      </c>
      <c r="B64" s="6">
        <f>A64*(0.00378541178/60)*$B$17</f>
        <v/>
      </c>
      <c r="C64" s="6">
        <f>B64/$B$26</f>
        <v/>
      </c>
      <c r="D64" s="6">
        <f>C64/$B$14</f>
        <v/>
      </c>
      <c r="E64" s="6">
        <f>C64/($B$6*$B$26^($B$5-1)+$B$7*C64)</f>
        <v/>
      </c>
      <c r="F64" s="6">
        <f>(1/(($B$6/$B$26)*(2*$B$28*PI()*$B$10^2*($B$27+$B$29))^$B$5+$B$7*C64))/G64</f>
        <v/>
      </c>
      <c r="G64" s="6">
        <f>$B$10*$B$25/C64</f>
        <v/>
      </c>
      <c r="H64" s="6">
        <f>$B$30*$B$31+$B$7*C64*$B$29</f>
        <v/>
      </c>
      <c r="I64" s="6">
        <f>IF(G64*H64&gt;700,NA(),$F$10*($B$10*$B$26/($B$15*$B$9))*(EXP(G64*H64)-1)/G64)</f>
        <v/>
      </c>
      <c r="J64" s="6">
        <f>IF(ISNA(I64),NA(),I64*264.172052/$B$17)</f>
        <v/>
      </c>
      <c r="K64" s="6">
        <f>IF(ISNA(I64),NA(),I64/B64)</f>
        <v/>
      </c>
      <c r="L64" s="6">
        <f>$B$18</f>
        <v/>
      </c>
      <c r="M64" s="6">
        <f>IF(ISNA(K64),NA(),K64/$B$11)</f>
        <v/>
      </c>
    </row>
    <row r="65" ht="15" customHeight="1">
      <c r="A65" s="6">
        <f>A64+$F$16</f>
        <v/>
      </c>
      <c r="B65" s="6">
        <f>A65*(0.00378541178/60)*$B$17</f>
        <v/>
      </c>
      <c r="C65" s="6">
        <f>B65/$B$26</f>
        <v/>
      </c>
      <c r="D65" s="6">
        <f>C65/$B$14</f>
        <v/>
      </c>
      <c r="E65" s="6">
        <f>C65/($B$6*$B$26^($B$5-1)+$B$7*C65)</f>
        <v/>
      </c>
      <c r="F65" s="6">
        <f>(1/(($B$6/$B$26)*(2*$B$28*PI()*$B$10^2*($B$27+$B$29))^$B$5+$B$7*C65))/G65</f>
        <v/>
      </c>
      <c r="G65" s="6">
        <f>$B$10*$B$25/C65</f>
        <v/>
      </c>
      <c r="H65" s="6">
        <f>$B$30*$B$31+$B$7*C65*$B$29</f>
        <v/>
      </c>
      <c r="I65" s="6">
        <f>IF(G65*H65&gt;700,NA(),$F$10*($B$10*$B$26/($B$15*$B$9))*(EXP(G65*H65)-1)/G65)</f>
        <v/>
      </c>
      <c r="J65" s="6">
        <f>IF(ISNA(I65),NA(),I65*264.172052/$B$17)</f>
        <v/>
      </c>
      <c r="K65" s="6">
        <f>IF(ISNA(I65),NA(),I65/B65)</f>
        <v/>
      </c>
      <c r="L65" s="6">
        <f>$B$18</f>
        <v/>
      </c>
      <c r="M65" s="6">
        <f>IF(ISNA(K65),NA(),K65/$B$11)</f>
        <v/>
      </c>
    </row>
    <row r="66" ht="15" customHeight="1">
      <c r="A66" s="6">
        <f>A65+$F$16</f>
        <v/>
      </c>
      <c r="B66" s="6">
        <f>A66*(0.00378541178/60)*$B$17</f>
        <v/>
      </c>
      <c r="C66" s="6">
        <f>B66/$B$26</f>
        <v/>
      </c>
      <c r="D66" s="6">
        <f>C66/$B$14</f>
        <v/>
      </c>
      <c r="E66" s="6">
        <f>C66/($B$6*$B$26^($B$5-1)+$B$7*C66)</f>
        <v/>
      </c>
      <c r="F66" s="6">
        <f>(1/(($B$6/$B$26)*(2*$B$28*PI()*$B$10^2*($B$27+$B$29))^$B$5+$B$7*C66))/G66</f>
        <v/>
      </c>
      <c r="G66" s="6">
        <f>$B$10*$B$25/C66</f>
        <v/>
      </c>
      <c r="H66" s="6">
        <f>$B$30*$B$31+$B$7*C66*$B$29</f>
        <v/>
      </c>
      <c r="I66" s="6">
        <f>IF(G66*H66&gt;700,NA(),$F$10*($B$10*$B$26/($B$15*$B$9))*(EXP(G66*H66)-1)/G66)</f>
        <v/>
      </c>
      <c r="J66" s="6">
        <f>IF(ISNA(I66),NA(),I66*264.172052/$B$17)</f>
        <v/>
      </c>
      <c r="K66" s="6">
        <f>IF(ISNA(I66),NA(),I66/B66)</f>
        <v/>
      </c>
      <c r="L66" s="6">
        <f>$B$18</f>
        <v/>
      </c>
      <c r="M66" s="6">
        <f>IF(ISNA(K66),NA(),K66/$B$11)</f>
        <v/>
      </c>
    </row>
    <row r="67" ht="15" customHeight="1">
      <c r="A67" s="6">
        <f>A66+$F$16</f>
        <v/>
      </c>
      <c r="B67" s="6">
        <f>A67*(0.00378541178/60)*$B$17</f>
        <v/>
      </c>
      <c r="C67" s="6">
        <f>B67/$B$26</f>
        <v/>
      </c>
      <c r="D67" s="6">
        <f>C67/$B$14</f>
        <v/>
      </c>
      <c r="E67" s="6">
        <f>C67/($B$6*$B$26^($B$5-1)+$B$7*C67)</f>
        <v/>
      </c>
      <c r="F67" s="6">
        <f>(1/(($B$6/$B$26)*(2*$B$28*PI()*$B$10^2*($B$27+$B$29))^$B$5+$B$7*C67))/G67</f>
        <v/>
      </c>
      <c r="G67" s="6">
        <f>$B$10*$B$25/C67</f>
        <v/>
      </c>
      <c r="H67" s="6">
        <f>$B$30*$B$31+$B$7*C67*$B$29</f>
        <v/>
      </c>
      <c r="I67" s="6">
        <f>IF(G67*H67&gt;700,NA(),$F$10*($B$10*$B$26/($B$15*$B$9))*(EXP(G67*H67)-1)/G67)</f>
        <v/>
      </c>
      <c r="J67" s="6">
        <f>IF(ISNA(I67),NA(),I67*264.172052/$B$17)</f>
        <v/>
      </c>
      <c r="K67" s="6">
        <f>IF(ISNA(I67),NA(),I67/B67)</f>
        <v/>
      </c>
      <c r="L67" s="6">
        <f>$B$18</f>
        <v/>
      </c>
      <c r="M67" s="6">
        <f>IF(ISNA(K67),NA(),K67/$B$11)</f>
        <v/>
      </c>
    </row>
    <row r="68" ht="15" customHeight="1">
      <c r="A68" s="6">
        <f>A67+$F$16</f>
        <v/>
      </c>
      <c r="B68" s="6">
        <f>A68*(0.00378541178/60)*$B$17</f>
        <v/>
      </c>
      <c r="C68" s="6">
        <f>B68/$B$26</f>
        <v/>
      </c>
      <c r="D68" s="6">
        <f>C68/$B$14</f>
        <v/>
      </c>
      <c r="E68" s="6">
        <f>C68/($B$6*$B$26^($B$5-1)+$B$7*C68)</f>
        <v/>
      </c>
      <c r="F68" s="6">
        <f>(1/(($B$6/$B$26)*(2*$B$28*PI()*$B$10^2*($B$27+$B$29))^$B$5+$B$7*C68))/G68</f>
        <v/>
      </c>
      <c r="G68" s="6">
        <f>$B$10*$B$25/C68</f>
        <v/>
      </c>
      <c r="H68" s="6">
        <f>$B$30*$B$31+$B$7*C68*$B$29</f>
        <v/>
      </c>
      <c r="I68" s="6">
        <f>IF(G68*H68&gt;700,NA(),$F$10*($B$10*$B$26/($B$15*$B$9))*(EXP(G68*H68)-1)/G68)</f>
        <v/>
      </c>
      <c r="J68" s="6">
        <f>IF(ISNA(I68),NA(),I68*264.172052/$B$17)</f>
        <v/>
      </c>
      <c r="K68" s="6">
        <f>IF(ISNA(I68),NA(),I68/B68)</f>
        <v/>
      </c>
      <c r="L68" s="6">
        <f>$B$18</f>
        <v/>
      </c>
      <c r="M68" s="6">
        <f>IF(ISNA(K68),NA(),K68/$B$11)</f>
        <v/>
      </c>
    </row>
    <row r="69" ht="15" customHeight="1">
      <c r="A69" s="6">
        <f>A68+$F$16</f>
        <v/>
      </c>
      <c r="B69" s="6">
        <f>A69*(0.00378541178/60)*$B$17</f>
        <v/>
      </c>
      <c r="C69" s="6">
        <f>B69/$B$26</f>
        <v/>
      </c>
      <c r="D69" s="6">
        <f>C69/$B$14</f>
        <v/>
      </c>
      <c r="E69" s="6">
        <f>C69/($B$6*$B$26^($B$5-1)+$B$7*C69)</f>
        <v/>
      </c>
      <c r="F69" s="6">
        <f>(1/(($B$6/$B$26)*(2*$B$28*PI()*$B$10^2*($B$27+$B$29))^$B$5+$B$7*C69))/G69</f>
        <v/>
      </c>
      <c r="G69" s="6">
        <f>$B$10*$B$25/C69</f>
        <v/>
      </c>
      <c r="H69" s="6">
        <f>$B$30*$B$31+$B$7*C69*$B$29</f>
        <v/>
      </c>
      <c r="I69" s="6">
        <f>IF(G69*H69&gt;700,NA(),$F$10*($B$10*$B$26/($B$15*$B$9))*(EXP(G69*H69)-1)/G69)</f>
        <v/>
      </c>
      <c r="J69" s="6">
        <f>IF(ISNA(I69),NA(),I69*264.172052/$B$17)</f>
        <v/>
      </c>
      <c r="K69" s="6">
        <f>IF(ISNA(I69),NA(),I69/B69)</f>
        <v/>
      </c>
      <c r="L69" s="6">
        <f>$B$18</f>
        <v/>
      </c>
      <c r="M69" s="6">
        <f>IF(ISNA(K69),NA(),K69/$B$11)</f>
        <v/>
      </c>
    </row>
    <row r="70" ht="15" customHeight="1">
      <c r="A70" s="6">
        <f>A69+$F$16</f>
        <v/>
      </c>
      <c r="B70" s="6">
        <f>A70*(0.00378541178/60)*$B$17</f>
        <v/>
      </c>
      <c r="C70" s="6">
        <f>B70/$B$26</f>
        <v/>
      </c>
      <c r="D70" s="6">
        <f>C70/$B$14</f>
        <v/>
      </c>
      <c r="E70" s="6">
        <f>C70/($B$6*$B$26^($B$5-1)+$B$7*C70)</f>
        <v/>
      </c>
      <c r="F70" s="6">
        <f>(1/(($B$6/$B$26)*(2*$B$28*PI()*$B$10^2*($B$27+$B$29))^$B$5+$B$7*C70))/G70</f>
        <v/>
      </c>
      <c r="G70" s="6">
        <f>$B$10*$B$25/C70</f>
        <v/>
      </c>
      <c r="H70" s="6">
        <f>$B$30*$B$31+$B$7*C70*$B$29</f>
        <v/>
      </c>
      <c r="I70" s="6">
        <f>IF(G70*H70&gt;700,NA(),$F$10*($B$10*$B$26/($B$15*$B$9))*(EXP(G70*H70)-1)/G70)</f>
        <v/>
      </c>
      <c r="J70" s="6">
        <f>IF(ISNA(I70),NA(),I70*264.172052/$B$17)</f>
        <v/>
      </c>
      <c r="K70" s="6">
        <f>IF(ISNA(I70),NA(),I70/B70)</f>
        <v/>
      </c>
      <c r="L70" s="6">
        <f>$B$18</f>
        <v/>
      </c>
      <c r="M70" s="6">
        <f>IF(ISNA(K70),NA(),K70/$B$11)</f>
        <v/>
      </c>
    </row>
    <row r="71" ht="15" customHeight="1">
      <c r="A71" s="6">
        <f>A70+$F$16</f>
        <v/>
      </c>
      <c r="B71" s="6">
        <f>A71*(0.00378541178/60)*$B$17</f>
        <v/>
      </c>
      <c r="C71" s="6">
        <f>B71/$B$26</f>
        <v/>
      </c>
      <c r="D71" s="6">
        <f>C71/$B$14</f>
        <v/>
      </c>
      <c r="E71" s="6">
        <f>C71/($B$6*$B$26^($B$5-1)+$B$7*C71)</f>
        <v/>
      </c>
      <c r="F71" s="6">
        <f>(1/(($B$6/$B$26)*(2*$B$28*PI()*$B$10^2*($B$27+$B$29))^$B$5+$B$7*C71))/G71</f>
        <v/>
      </c>
      <c r="G71" s="6">
        <f>$B$10*$B$25/C71</f>
        <v/>
      </c>
      <c r="H71" s="6">
        <f>$B$30*$B$31+$B$7*C71*$B$29</f>
        <v/>
      </c>
      <c r="I71" s="6">
        <f>IF(G71*H71&gt;700,NA(),$F$10*($B$10*$B$26/($B$15*$B$9))*(EXP(G71*H71)-1)/G71)</f>
        <v/>
      </c>
      <c r="J71" s="6">
        <f>IF(ISNA(I71),NA(),I71*264.172052/$B$17)</f>
        <v/>
      </c>
      <c r="K71" s="6">
        <f>IF(ISNA(I71),NA(),I71/B71)</f>
        <v/>
      </c>
      <c r="L71" s="6">
        <f>$B$18</f>
        <v/>
      </c>
      <c r="M71" s="6">
        <f>IF(ISNA(K71),NA(),K71/$B$11)</f>
        <v/>
      </c>
    </row>
    <row r="72" ht="15" customHeight="1">
      <c r="A72" s="6">
        <f>A71+$F$16</f>
        <v/>
      </c>
      <c r="B72" s="6">
        <f>A72*(0.00378541178/60)*$B$17</f>
        <v/>
      </c>
      <c r="C72" s="6">
        <f>B72/$B$26</f>
        <v/>
      </c>
      <c r="D72" s="6">
        <f>C72/$B$14</f>
        <v/>
      </c>
      <c r="E72" s="6">
        <f>C72/($B$6*$B$26^($B$5-1)+$B$7*C72)</f>
        <v/>
      </c>
      <c r="F72" s="6">
        <f>(1/(($B$6/$B$26)*(2*$B$28*PI()*$B$10^2*($B$27+$B$29))^$B$5+$B$7*C72))/G72</f>
        <v/>
      </c>
      <c r="G72" s="6">
        <f>$B$10*$B$25/C72</f>
        <v/>
      </c>
      <c r="H72" s="6">
        <f>$B$30*$B$31+$B$7*C72*$B$29</f>
        <v/>
      </c>
      <c r="I72" s="6">
        <f>IF(G72*H72&gt;700,NA(),$F$10*($B$10*$B$26/($B$15*$B$9))*(EXP(G72*H72)-1)/G72)</f>
        <v/>
      </c>
      <c r="J72" s="6">
        <f>IF(ISNA(I72),NA(),I72*264.172052/$B$17)</f>
        <v/>
      </c>
      <c r="K72" s="6">
        <f>IF(ISNA(I72),NA(),I72/B72)</f>
        <v/>
      </c>
      <c r="L72" s="6">
        <f>$B$18</f>
        <v/>
      </c>
      <c r="M72" s="6">
        <f>IF(ISNA(K72),NA(),K72/$B$11)</f>
        <v/>
      </c>
    </row>
    <row r="73" ht="15" customHeight="1">
      <c r="A73" s="6">
        <f>A72+$F$16</f>
        <v/>
      </c>
      <c r="B73" s="6">
        <f>A73*(0.00378541178/60)*$B$17</f>
        <v/>
      </c>
      <c r="C73" s="6">
        <f>B73/$B$26</f>
        <v/>
      </c>
      <c r="D73" s="6">
        <f>C73/$B$14</f>
        <v/>
      </c>
      <c r="E73" s="6">
        <f>C73/($B$6*$B$26^($B$5-1)+$B$7*C73)</f>
        <v/>
      </c>
      <c r="F73" s="6">
        <f>(1/(($B$6/$B$26)*(2*$B$28*PI()*$B$10^2*($B$27+$B$29))^$B$5+$B$7*C73))/G73</f>
        <v/>
      </c>
      <c r="G73" s="6">
        <f>$B$10*$B$25/C73</f>
        <v/>
      </c>
      <c r="H73" s="6">
        <f>$B$30*$B$31+$B$7*C73*$B$29</f>
        <v/>
      </c>
      <c r="I73" s="6">
        <f>IF(G73*H73&gt;700,NA(),$F$10*($B$10*$B$26/($B$15*$B$9))*(EXP(G73*H73)-1)/G73)</f>
        <v/>
      </c>
      <c r="J73" s="6">
        <f>IF(ISNA(I73),NA(),I73*264.172052/$B$17)</f>
        <v/>
      </c>
      <c r="K73" s="6">
        <f>IF(ISNA(I73),NA(),I73/B73)</f>
        <v/>
      </c>
      <c r="L73" s="6">
        <f>$B$18</f>
        <v/>
      </c>
      <c r="M73" s="6">
        <f>IF(ISNA(K73),NA(),K73/$B$11)</f>
        <v/>
      </c>
    </row>
    <row r="74" ht="15" customHeight="1">
      <c r="A74" s="6">
        <f>A73+$F$16</f>
        <v/>
      </c>
      <c r="B74" s="6">
        <f>A74*(0.00378541178/60)*$B$17</f>
        <v/>
      </c>
      <c r="C74" s="6">
        <f>B74/$B$26</f>
        <v/>
      </c>
      <c r="D74" s="6">
        <f>C74/$B$14</f>
        <v/>
      </c>
      <c r="E74" s="6">
        <f>C74/($B$6*$B$26^($B$5-1)+$B$7*C74)</f>
        <v/>
      </c>
      <c r="F74" s="6">
        <f>(1/(($B$6/$B$26)*(2*$B$28*PI()*$B$10^2*($B$27+$B$29))^$B$5+$B$7*C74))/G74</f>
        <v/>
      </c>
      <c r="G74" s="6">
        <f>$B$10*$B$25/C74</f>
        <v/>
      </c>
      <c r="H74" s="6">
        <f>$B$30*$B$31+$B$7*C74*$B$29</f>
        <v/>
      </c>
      <c r="I74" s="6">
        <f>IF(G74*H74&gt;700,NA(),$F$10*($B$10*$B$26/($B$15*$B$9))*(EXP(G74*H74)-1)/G74)</f>
        <v/>
      </c>
      <c r="J74" s="6">
        <f>IF(ISNA(I74),NA(),I74*264.172052/$B$17)</f>
        <v/>
      </c>
      <c r="K74" s="6">
        <f>IF(ISNA(I74),NA(),I74/B74)</f>
        <v/>
      </c>
      <c r="L74" s="6">
        <f>$B$18</f>
        <v/>
      </c>
      <c r="M74" s="6">
        <f>IF(ISNA(K74),NA(),K74/$B$11)</f>
        <v/>
      </c>
    </row>
    <row r="75" ht="15" customHeight="1">
      <c r="A75" s="6">
        <f>A74+$F$16</f>
        <v/>
      </c>
      <c r="B75" s="6">
        <f>A75*(0.00378541178/60)*$B$17</f>
        <v/>
      </c>
      <c r="C75" s="6">
        <f>B75/$B$26</f>
        <v/>
      </c>
      <c r="D75" s="6">
        <f>C75/$B$14</f>
        <v/>
      </c>
      <c r="E75" s="6">
        <f>C75/($B$6*$B$26^($B$5-1)+$B$7*C75)</f>
        <v/>
      </c>
      <c r="F75" s="6">
        <f>(1/(($B$6/$B$26)*(2*$B$28*PI()*$B$10^2*($B$27+$B$29))^$B$5+$B$7*C75))/G75</f>
        <v/>
      </c>
      <c r="G75" s="6">
        <f>$B$10*$B$25/C75</f>
        <v/>
      </c>
      <c r="H75" s="6">
        <f>$B$30*$B$31+$B$7*C75*$B$29</f>
        <v/>
      </c>
      <c r="I75" s="6">
        <f>IF(G75*H75&gt;700,NA(),$F$10*($B$10*$B$26/($B$15*$B$9))*(EXP(G75*H75)-1)/G75)</f>
        <v/>
      </c>
      <c r="J75" s="6">
        <f>IF(ISNA(I75),NA(),I75*264.172052/$B$17)</f>
        <v/>
      </c>
      <c r="K75" s="6">
        <f>IF(ISNA(I75),NA(),I75/B75)</f>
        <v/>
      </c>
      <c r="L75" s="6">
        <f>$B$18</f>
        <v/>
      </c>
      <c r="M75" s="6">
        <f>IF(ISNA(K75),NA(),K75/$B$11)</f>
        <v/>
      </c>
    </row>
    <row r="76" ht="15" customHeight="1">
      <c r="A76" s="6">
        <f>A75+$F$16</f>
        <v/>
      </c>
      <c r="B76" s="6">
        <f>A76*(0.00378541178/60)*$B$17</f>
        <v/>
      </c>
      <c r="C76" s="6">
        <f>B76/$B$26</f>
        <v/>
      </c>
      <c r="D76" s="6">
        <f>C76/$B$14</f>
        <v/>
      </c>
      <c r="E76" s="6">
        <f>C76/($B$6*$B$26^($B$5-1)+$B$7*C76)</f>
        <v/>
      </c>
      <c r="F76" s="6">
        <f>(1/(($B$6/$B$26)*(2*$B$28*PI()*$B$10^2*($B$27+$B$29))^$B$5+$B$7*C76))/G76</f>
        <v/>
      </c>
      <c r="G76" s="6">
        <f>$B$10*$B$25/C76</f>
        <v/>
      </c>
      <c r="H76" s="6">
        <f>$B$30*$B$31+$B$7*C76*$B$29</f>
        <v/>
      </c>
      <c r="I76" s="6">
        <f>IF(G76*H76&gt;700,NA(),$F$10*($B$10*$B$26/($B$15*$B$9))*(EXP(G76*H76)-1)/G76)</f>
        <v/>
      </c>
      <c r="J76" s="6">
        <f>IF(ISNA(I76),NA(),I76*264.172052/$B$17)</f>
        <v/>
      </c>
      <c r="K76" s="6">
        <f>IF(ISNA(I76),NA(),I76/B76)</f>
        <v/>
      </c>
      <c r="L76" s="6">
        <f>$B$18</f>
        <v/>
      </c>
      <c r="M76" s="6">
        <f>IF(ISNA(K76),NA(),K76/$B$11)</f>
        <v/>
      </c>
    </row>
    <row r="77" ht="15" customHeight="1">
      <c r="A77" s="6">
        <f>A76+$F$16</f>
        <v/>
      </c>
      <c r="B77" s="6">
        <f>A77*(0.00378541178/60)*$B$17</f>
        <v/>
      </c>
      <c r="C77" s="6">
        <f>B77/$B$26</f>
        <v/>
      </c>
      <c r="D77" s="6">
        <f>C77/$B$14</f>
        <v/>
      </c>
      <c r="E77" s="6">
        <f>C77/($B$6*$B$26^($B$5-1)+$B$7*C77)</f>
        <v/>
      </c>
      <c r="F77" s="6">
        <f>(1/(($B$6/$B$26)*(2*$B$28*PI()*$B$10^2*($B$27+$B$29))^$B$5+$B$7*C77))/G77</f>
        <v/>
      </c>
      <c r="G77" s="6">
        <f>$B$10*$B$25/C77</f>
        <v/>
      </c>
      <c r="H77" s="6">
        <f>$B$30*$B$31+$B$7*C77*$B$29</f>
        <v/>
      </c>
      <c r="I77" s="6">
        <f>IF(G77*H77&gt;700,NA(),$F$10*($B$10*$B$26/($B$15*$B$9))*(EXP(G77*H77)-1)/G77)</f>
        <v/>
      </c>
      <c r="J77" s="6">
        <f>IF(ISNA(I77),NA(),I77*264.172052/$B$17)</f>
        <v/>
      </c>
      <c r="K77" s="6">
        <f>IF(ISNA(I77),NA(),I77/B77)</f>
        <v/>
      </c>
      <c r="L77" s="6">
        <f>$B$18</f>
        <v/>
      </c>
      <c r="M77" s="6">
        <f>IF(ISNA(K77),NA(),K77/$B$11)</f>
        <v/>
      </c>
    </row>
    <row r="78" ht="15" customHeight="1">
      <c r="A78" s="6">
        <f>A77+$F$16</f>
        <v/>
      </c>
      <c r="B78" s="6">
        <f>A78*(0.00378541178/60)*$B$17</f>
        <v/>
      </c>
      <c r="C78" s="6">
        <f>B78/$B$26</f>
        <v/>
      </c>
      <c r="D78" s="6">
        <f>C78/$B$14</f>
        <v/>
      </c>
      <c r="E78" s="6">
        <f>C78/($B$6*$B$26^($B$5-1)+$B$7*C78)</f>
        <v/>
      </c>
      <c r="F78" s="6">
        <f>(1/(($B$6/$B$26)*(2*$B$28*PI()*$B$10^2*($B$27+$B$29))^$B$5+$B$7*C78))/G78</f>
        <v/>
      </c>
      <c r="G78" s="6">
        <f>$B$10*$B$25/C78</f>
        <v/>
      </c>
      <c r="H78" s="6">
        <f>$B$30*$B$31+$B$7*C78*$B$29</f>
        <v/>
      </c>
      <c r="I78" s="6">
        <f>IF(G78*H78&gt;700,NA(),$F$10*($B$10*$B$26/($B$15*$B$9))*(EXP(G78*H78)-1)/G78)</f>
        <v/>
      </c>
      <c r="J78" s="6">
        <f>IF(ISNA(I78),NA(),I78*264.172052/$B$17)</f>
        <v/>
      </c>
      <c r="K78" s="6">
        <f>IF(ISNA(I78),NA(),I78/B78)</f>
        <v/>
      </c>
      <c r="L78" s="6">
        <f>$B$18</f>
        <v/>
      </c>
      <c r="M78" s="6">
        <f>IF(ISNA(K78),NA(),K78/$B$11)</f>
        <v/>
      </c>
    </row>
    <row r="79" ht="15" customHeight="1">
      <c r="A79" s="6">
        <f>A78+$F$16</f>
        <v/>
      </c>
      <c r="B79" s="6">
        <f>A79*(0.00378541178/60)*$B$17</f>
        <v/>
      </c>
      <c r="C79" s="6">
        <f>B79/$B$26</f>
        <v/>
      </c>
      <c r="D79" s="6">
        <f>C79/$B$14</f>
        <v/>
      </c>
      <c r="E79" s="6">
        <f>C79/($B$6*$B$26^($B$5-1)+$B$7*C79)</f>
        <v/>
      </c>
      <c r="F79" s="6">
        <f>(1/(($B$6/$B$26)*(2*$B$28*PI()*$B$10^2*($B$27+$B$29))^$B$5+$B$7*C79))/G79</f>
        <v/>
      </c>
      <c r="G79" s="6">
        <f>$B$10*$B$25/C79</f>
        <v/>
      </c>
      <c r="H79" s="6">
        <f>$B$30*$B$31+$B$7*C79*$B$29</f>
        <v/>
      </c>
      <c r="I79" s="6">
        <f>IF(G79*H79&gt;700,NA(),$F$10*($B$10*$B$26/($B$15*$B$9))*(EXP(G79*H79)-1)/G79)</f>
        <v/>
      </c>
      <c r="J79" s="6">
        <f>IF(ISNA(I79),NA(),I79*264.172052/$B$17)</f>
        <v/>
      </c>
      <c r="K79" s="6">
        <f>IF(ISNA(I79),NA(),I79/B79)</f>
        <v/>
      </c>
      <c r="L79" s="6">
        <f>$B$18</f>
        <v/>
      </c>
      <c r="M79" s="6">
        <f>IF(ISNA(K79),NA(),K79/$B$11)</f>
        <v/>
      </c>
    </row>
    <row r="80" ht="15" customHeight="1">
      <c r="A80" s="6">
        <f>A79+$F$16</f>
        <v/>
      </c>
      <c r="B80" s="6">
        <f>A80*(0.00378541178/60)*$B$17</f>
        <v/>
      </c>
      <c r="C80" s="6">
        <f>B80/$B$26</f>
        <v/>
      </c>
      <c r="D80" s="6">
        <f>C80/$B$14</f>
        <v/>
      </c>
      <c r="E80" s="6">
        <f>C80/($B$6*$B$26^($B$5-1)+$B$7*C80)</f>
        <v/>
      </c>
      <c r="F80" s="6">
        <f>(1/(($B$6/$B$26)*(2*$B$28*PI()*$B$10^2*($B$27+$B$29))^$B$5+$B$7*C80))/G80</f>
        <v/>
      </c>
      <c r="G80" s="6">
        <f>$B$10*$B$25/C80</f>
        <v/>
      </c>
      <c r="H80" s="6">
        <f>$B$30*$B$31+$B$7*C80*$B$29</f>
        <v/>
      </c>
      <c r="I80" s="6">
        <f>IF(G80*H80&gt;700,NA(),$F$10*($B$10*$B$26/($B$15*$B$9))*(EXP(G80*H80)-1)/G80)</f>
        <v/>
      </c>
      <c r="J80" s="6">
        <f>IF(ISNA(I80),NA(),I80*264.172052/$B$17)</f>
        <v/>
      </c>
      <c r="K80" s="6">
        <f>IF(ISNA(I80),NA(),I80/B80)</f>
        <v/>
      </c>
      <c r="L80" s="6">
        <f>$B$18</f>
        <v/>
      </c>
      <c r="M80" s="6">
        <f>IF(ISNA(K80),NA(),K80/$B$11)</f>
        <v/>
      </c>
    </row>
    <row r="81" ht="15" customHeight="1">
      <c r="A81" s="6">
        <f>A80+$F$16</f>
        <v/>
      </c>
      <c r="B81" s="6">
        <f>A81*(0.00378541178/60)*$B$17</f>
        <v/>
      </c>
      <c r="C81" s="6">
        <f>B81/$B$26</f>
        <v/>
      </c>
      <c r="D81" s="6">
        <f>C81/$B$14</f>
        <v/>
      </c>
      <c r="E81" s="6">
        <f>C81/($B$6*$B$26^($B$5-1)+$B$7*C81)</f>
        <v/>
      </c>
      <c r="F81" s="6">
        <f>(1/(($B$6/$B$26)*(2*$B$28*PI()*$B$10^2*($B$27+$B$29))^$B$5+$B$7*C81))/G81</f>
        <v/>
      </c>
      <c r="G81" s="6">
        <f>$B$10*$B$25/C81</f>
        <v/>
      </c>
      <c r="H81" s="6">
        <f>$B$30*$B$31+$B$7*C81*$B$29</f>
        <v/>
      </c>
      <c r="I81" s="6">
        <f>IF(G81*H81&gt;700,NA(),$F$10*($B$10*$B$26/($B$15*$B$9))*(EXP(G81*H81)-1)/G81)</f>
        <v/>
      </c>
      <c r="J81" s="6">
        <f>IF(ISNA(I81),NA(),I81*264.172052/$B$17)</f>
        <v/>
      </c>
      <c r="K81" s="6">
        <f>IF(ISNA(I81),NA(),I81/B81)</f>
        <v/>
      </c>
      <c r="L81" s="6">
        <f>$B$18</f>
        <v/>
      </c>
      <c r="M81" s="6">
        <f>IF(ISNA(K81),NA(),K81/$B$11)</f>
        <v/>
      </c>
    </row>
    <row r="82" ht="15" customHeight="1">
      <c r="A82" s="6">
        <f>A81+$F$16</f>
        <v/>
      </c>
      <c r="B82" s="6">
        <f>A82*(0.00378541178/60)*$B$17</f>
        <v/>
      </c>
      <c r="C82" s="6">
        <f>B82/$B$26</f>
        <v/>
      </c>
      <c r="D82" s="6">
        <f>C82/$B$14</f>
        <v/>
      </c>
      <c r="E82" s="6">
        <f>C82/($B$6*$B$26^($B$5-1)+$B$7*C82)</f>
        <v/>
      </c>
      <c r="F82" s="6">
        <f>(1/(($B$6/$B$26)*(2*$B$28*PI()*$B$10^2*($B$27+$B$29))^$B$5+$B$7*C82))/G82</f>
        <v/>
      </c>
      <c r="G82" s="6">
        <f>$B$10*$B$25/C82</f>
        <v/>
      </c>
      <c r="H82" s="6">
        <f>$B$30*$B$31+$B$7*C82*$B$29</f>
        <v/>
      </c>
      <c r="I82" s="6">
        <f>IF(G82*H82&gt;700,NA(),$F$10*($B$10*$B$26/($B$15*$B$9))*(EXP(G82*H82)-1)/G82)</f>
        <v/>
      </c>
      <c r="J82" s="6">
        <f>IF(ISNA(I82),NA(),I82*264.172052/$B$17)</f>
        <v/>
      </c>
      <c r="K82" s="6">
        <f>IF(ISNA(I82),NA(),I82/B82)</f>
        <v/>
      </c>
      <c r="L82" s="6">
        <f>$B$18</f>
        <v/>
      </c>
      <c r="M82" s="6">
        <f>IF(ISNA(K82),NA(),K82/$B$11)</f>
        <v/>
      </c>
    </row>
    <row r="83" ht="15" customHeight="1">
      <c r="A83" s="6">
        <f>A82+$F$16</f>
        <v/>
      </c>
      <c r="B83" s="6">
        <f>A83*(0.00378541178/60)*$B$17</f>
        <v/>
      </c>
      <c r="C83" s="6">
        <f>B83/$B$26</f>
        <v/>
      </c>
      <c r="D83" s="6">
        <f>C83/$B$14</f>
        <v/>
      </c>
      <c r="E83" s="6">
        <f>C83/($B$6*$B$26^($B$5-1)+$B$7*C83)</f>
        <v/>
      </c>
      <c r="F83" s="6">
        <f>(1/(($B$6/$B$26)*(2*$B$28*PI()*$B$10^2*($B$27+$B$29))^$B$5+$B$7*C83))/G83</f>
        <v/>
      </c>
      <c r="G83" s="6">
        <f>$B$10*$B$25/C83</f>
        <v/>
      </c>
      <c r="H83" s="6">
        <f>$B$30*$B$31+$B$7*C83*$B$29</f>
        <v/>
      </c>
      <c r="I83" s="6">
        <f>IF(G83*H83&gt;700,NA(),$F$10*($B$10*$B$26/($B$15*$B$9))*(EXP(G83*H83)-1)/G83)</f>
        <v/>
      </c>
      <c r="J83" s="6">
        <f>IF(ISNA(I83),NA(),I83*264.172052/$B$17)</f>
        <v/>
      </c>
      <c r="K83" s="6">
        <f>IF(ISNA(I83),NA(),I83/B83)</f>
        <v/>
      </c>
      <c r="L83" s="6">
        <f>$B$18</f>
        <v/>
      </c>
      <c r="M83" s="6">
        <f>IF(ISNA(K83),NA(),K83/$B$11)</f>
        <v/>
      </c>
    </row>
    <row r="84" ht="15" customHeight="1">
      <c r="A84" s="6">
        <f>A83+$F$16</f>
        <v/>
      </c>
      <c r="B84" s="6">
        <f>A84*(0.00378541178/60)*$B$17</f>
        <v/>
      </c>
      <c r="C84" s="6">
        <f>B84/$B$26</f>
        <v/>
      </c>
      <c r="D84" s="6">
        <f>C84/$B$14</f>
        <v/>
      </c>
      <c r="E84" s="6">
        <f>C84/($B$6*$B$26^($B$5-1)+$B$7*C84)</f>
        <v/>
      </c>
      <c r="F84" s="6">
        <f>(1/(($B$6/$B$26)*(2*$B$28*PI()*$B$10^2*($B$27+$B$29))^$B$5+$B$7*C84))/G84</f>
        <v/>
      </c>
      <c r="G84" s="6">
        <f>$B$10*$B$25/C84</f>
        <v/>
      </c>
      <c r="H84" s="6">
        <f>$B$30*$B$31+$B$7*C84*$B$29</f>
        <v/>
      </c>
      <c r="I84" s="6">
        <f>IF(G84*H84&gt;700,NA(),$F$10*($B$10*$B$26/($B$15*$B$9))*(EXP(G84*H84)-1)/G84)</f>
        <v/>
      </c>
      <c r="J84" s="6">
        <f>IF(ISNA(I84),NA(),I84*264.172052/$B$17)</f>
        <v/>
      </c>
      <c r="K84" s="6">
        <f>IF(ISNA(I84),NA(),I84/B84)</f>
        <v/>
      </c>
      <c r="L84" s="6">
        <f>$B$18</f>
        <v/>
      </c>
      <c r="M84" s="6">
        <f>IF(ISNA(K84),NA(),K84/$B$11)</f>
        <v/>
      </c>
    </row>
    <row r="85" ht="15" customHeight="1">
      <c r="A85" s="6">
        <f>A84+$F$16</f>
        <v/>
      </c>
      <c r="B85" s="6">
        <f>A85*(0.00378541178/60)*$B$17</f>
        <v/>
      </c>
      <c r="C85" s="6">
        <f>B85/$B$26</f>
        <v/>
      </c>
      <c r="D85" s="6">
        <f>C85/$B$14</f>
        <v/>
      </c>
      <c r="E85" s="6">
        <f>C85/($B$6*$B$26^($B$5-1)+$B$7*C85)</f>
        <v/>
      </c>
      <c r="F85" s="6">
        <f>(1/(($B$6/$B$26)*(2*$B$28*PI()*$B$10^2*($B$27+$B$29))^$B$5+$B$7*C85))/G85</f>
        <v/>
      </c>
      <c r="G85" s="6">
        <f>$B$10*$B$25/C85</f>
        <v/>
      </c>
      <c r="H85" s="6">
        <f>$B$30*$B$31+$B$7*C85*$B$29</f>
        <v/>
      </c>
      <c r="I85" s="6">
        <f>IF(G85*H85&gt;700,NA(),$F$10*($B$10*$B$26/($B$15*$B$9))*(EXP(G85*H85)-1)/G85)</f>
        <v/>
      </c>
      <c r="J85" s="6">
        <f>IF(ISNA(I85),NA(),I85*264.172052/$B$17)</f>
        <v/>
      </c>
      <c r="K85" s="6">
        <f>IF(ISNA(I85),NA(),I85/B85)</f>
        <v/>
      </c>
      <c r="L85" s="6">
        <f>$B$18</f>
        <v/>
      </c>
      <c r="M85" s="6">
        <f>IF(ISNA(K85),NA(),K85/$B$11)</f>
        <v/>
      </c>
    </row>
    <row r="86" ht="15" customHeight="1">
      <c r="A86" s="6">
        <f>A85+$F$16</f>
        <v/>
      </c>
      <c r="B86" s="6">
        <f>A86*(0.00378541178/60)*$B$17</f>
        <v/>
      </c>
      <c r="C86" s="6">
        <f>B86/$B$26</f>
        <v/>
      </c>
      <c r="D86" s="6">
        <f>C86/$B$14</f>
        <v/>
      </c>
      <c r="E86" s="6">
        <f>C86/($B$6*$B$26^($B$5-1)+$B$7*C86)</f>
        <v/>
      </c>
      <c r="F86" s="6">
        <f>(1/(($B$6/$B$26)*(2*$B$28*PI()*$B$10^2*($B$27+$B$29))^$B$5+$B$7*C86))/G86</f>
        <v/>
      </c>
      <c r="G86" s="6">
        <f>$B$10*$B$25/C86</f>
        <v/>
      </c>
      <c r="H86" s="6">
        <f>$B$30*$B$31+$B$7*C86*$B$29</f>
        <v/>
      </c>
      <c r="I86" s="6">
        <f>IF(G86*H86&gt;700,NA(),$F$10*($B$10*$B$26/($B$15*$B$9))*(EXP(G86*H86)-1)/G86)</f>
        <v/>
      </c>
      <c r="J86" s="6">
        <f>IF(ISNA(I86),NA(),I86*264.172052/$B$17)</f>
        <v/>
      </c>
      <c r="K86" s="6">
        <f>IF(ISNA(I86),NA(),I86/B86)</f>
        <v/>
      </c>
      <c r="L86" s="6">
        <f>$B$18</f>
        <v/>
      </c>
      <c r="M86" s="6">
        <f>IF(ISNA(K86),NA(),K86/$B$11)</f>
        <v/>
      </c>
    </row>
    <row r="87" ht="15" customHeight="1">
      <c r="A87" s="6">
        <f>A86+$F$16</f>
        <v/>
      </c>
      <c r="B87" s="6">
        <f>A87*(0.00378541178/60)*$B$17</f>
        <v/>
      </c>
      <c r="C87" s="6">
        <f>B87/$B$26</f>
        <v/>
      </c>
      <c r="D87" s="6">
        <f>C87/$B$14</f>
        <v/>
      </c>
      <c r="E87" s="6">
        <f>C87/($B$6*$B$26^($B$5-1)+$B$7*C87)</f>
        <v/>
      </c>
      <c r="F87" s="6">
        <f>(1/(($B$6/$B$26)*(2*$B$28*PI()*$B$10^2*($B$27+$B$29))^$B$5+$B$7*C87))/G87</f>
        <v/>
      </c>
      <c r="G87" s="6">
        <f>$B$10*$B$25/C87</f>
        <v/>
      </c>
      <c r="H87" s="6">
        <f>$B$30*$B$31+$B$7*C87*$B$29</f>
        <v/>
      </c>
      <c r="I87" s="6">
        <f>IF(G87*H87&gt;700,NA(),$F$10*($B$10*$B$26/($B$15*$B$9))*(EXP(G87*H87)-1)/G87)</f>
        <v/>
      </c>
      <c r="J87" s="6">
        <f>IF(ISNA(I87),NA(),I87*264.172052/$B$17)</f>
        <v/>
      </c>
      <c r="K87" s="6">
        <f>IF(ISNA(I87),NA(),I87/B87)</f>
        <v/>
      </c>
      <c r="L87" s="6">
        <f>$B$18</f>
        <v/>
      </c>
      <c r="M87" s="6">
        <f>IF(ISNA(K87),NA(),K87/$B$11)</f>
        <v/>
      </c>
    </row>
    <row r="88" ht="15" customHeight="1">
      <c r="A88" s="6">
        <f>A87+$F$16</f>
        <v/>
      </c>
      <c r="B88" s="6">
        <f>A88*(0.00378541178/60)*$B$17</f>
        <v/>
      </c>
      <c r="C88" s="6">
        <f>B88/$B$26</f>
        <v/>
      </c>
      <c r="D88" s="6">
        <f>C88/$B$14</f>
        <v/>
      </c>
      <c r="E88" s="6">
        <f>C88/($B$6*$B$26^($B$5-1)+$B$7*C88)</f>
        <v/>
      </c>
      <c r="F88" s="6">
        <f>(1/(($B$6/$B$26)*(2*$B$28*PI()*$B$10^2*($B$27+$B$29))^$B$5+$B$7*C88))/G88</f>
        <v/>
      </c>
      <c r="G88" s="6">
        <f>$B$10*$B$25/C88</f>
        <v/>
      </c>
      <c r="H88" s="6">
        <f>$B$30*$B$31+$B$7*C88*$B$29</f>
        <v/>
      </c>
      <c r="I88" s="6">
        <f>IF(G88*H88&gt;700,NA(),$F$10*($B$10*$B$26/($B$15*$B$9))*(EXP(G88*H88)-1)/G88)</f>
        <v/>
      </c>
      <c r="J88" s="6">
        <f>IF(ISNA(I88),NA(),I88*264.172052/$B$17)</f>
        <v/>
      </c>
      <c r="K88" s="6">
        <f>IF(ISNA(I88),NA(),I88/B88)</f>
        <v/>
      </c>
      <c r="L88" s="6">
        <f>$B$18</f>
        <v/>
      </c>
      <c r="M88" s="6">
        <f>IF(ISNA(K88),NA(),K88/$B$11)</f>
        <v/>
      </c>
    </row>
    <row r="89" ht="15" customHeight="1">
      <c r="A89" s="6">
        <f>A88+$F$16</f>
        <v/>
      </c>
      <c r="B89" s="6">
        <f>A89*(0.00378541178/60)*$B$17</f>
        <v/>
      </c>
      <c r="C89" s="6">
        <f>B89/$B$26</f>
        <v/>
      </c>
      <c r="D89" s="6">
        <f>C89/$B$14</f>
        <v/>
      </c>
      <c r="E89" s="6">
        <f>C89/($B$6*$B$26^($B$5-1)+$B$7*C89)</f>
        <v/>
      </c>
      <c r="F89" s="6">
        <f>(1/(($B$6/$B$26)*(2*$B$28*PI()*$B$10^2*($B$27+$B$29))^$B$5+$B$7*C89))/G89</f>
        <v/>
      </c>
      <c r="G89" s="6">
        <f>$B$10*$B$25/C89</f>
        <v/>
      </c>
      <c r="H89" s="6">
        <f>$B$30*$B$31+$B$7*C89*$B$29</f>
        <v/>
      </c>
      <c r="I89" s="6">
        <f>IF(G89*H89&gt;700,NA(),$F$10*($B$10*$B$26/($B$15*$B$9))*(EXP(G89*H89)-1)/G89)</f>
        <v/>
      </c>
      <c r="J89" s="6">
        <f>IF(ISNA(I89),NA(),I89*264.172052/$B$17)</f>
        <v/>
      </c>
      <c r="K89" s="6">
        <f>IF(ISNA(I89),NA(),I89/B89)</f>
        <v/>
      </c>
      <c r="L89" s="6">
        <f>$B$18</f>
        <v/>
      </c>
      <c r="M89" s="6">
        <f>IF(ISNA(K89),NA(),K89/$B$11)</f>
        <v/>
      </c>
    </row>
    <row r="90" ht="15" customHeight="1">
      <c r="A90" s="6">
        <f>A89+$F$16</f>
        <v/>
      </c>
      <c r="B90" s="6">
        <f>A90*(0.00378541178/60)*$B$17</f>
        <v/>
      </c>
      <c r="C90" s="6">
        <f>B90/$B$26</f>
        <v/>
      </c>
      <c r="D90" s="6">
        <f>C90/$B$14</f>
        <v/>
      </c>
      <c r="E90" s="6">
        <f>C90/($B$6*$B$26^($B$5-1)+$B$7*C90)</f>
        <v/>
      </c>
      <c r="F90" s="6">
        <f>(1/(($B$6/$B$26)*(2*$B$28*PI()*$B$10^2*($B$27+$B$29))^$B$5+$B$7*C90))/G90</f>
        <v/>
      </c>
      <c r="G90" s="6">
        <f>$B$10*$B$25/C90</f>
        <v/>
      </c>
      <c r="H90" s="6">
        <f>$B$30*$B$31+$B$7*C90*$B$29</f>
        <v/>
      </c>
      <c r="I90" s="6">
        <f>IF(G90*H90&gt;700,NA(),$F$10*($B$10*$B$26/($B$15*$B$9))*(EXP(G90*H90)-1)/G90)</f>
        <v/>
      </c>
      <c r="J90" s="6">
        <f>IF(ISNA(I90),NA(),I90*264.172052/$B$17)</f>
        <v/>
      </c>
      <c r="K90" s="6">
        <f>IF(ISNA(I90),NA(),I90/B90)</f>
        <v/>
      </c>
      <c r="L90" s="6">
        <f>$B$18</f>
        <v/>
      </c>
      <c r="M90" s="6">
        <f>IF(ISNA(K90),NA(),K90/$B$11)</f>
        <v/>
      </c>
    </row>
    <row r="91" ht="15" customHeight="1">
      <c r="A91" s="6">
        <f>A90+$F$16</f>
        <v/>
      </c>
      <c r="B91" s="6">
        <f>A91*(0.00378541178/60)*$B$17</f>
        <v/>
      </c>
      <c r="C91" s="6">
        <f>B91/$B$26</f>
        <v/>
      </c>
      <c r="D91" s="6">
        <f>C91/$B$14</f>
        <v/>
      </c>
      <c r="E91" s="6">
        <f>C91/($B$6*$B$26^($B$5-1)+$B$7*C91)</f>
        <v/>
      </c>
      <c r="F91" s="6">
        <f>(1/(($B$6/$B$26)*(2*$B$28*PI()*$B$10^2*($B$27+$B$29))^$B$5+$B$7*C91))/G91</f>
        <v/>
      </c>
      <c r="G91" s="6">
        <f>$B$10*$B$25/C91</f>
        <v/>
      </c>
      <c r="H91" s="6">
        <f>$B$30*$B$31+$B$7*C91*$B$29</f>
        <v/>
      </c>
      <c r="I91" s="6">
        <f>IF(G91*H91&gt;700,NA(),$F$10*($B$10*$B$26/($B$15*$B$9))*(EXP(G91*H91)-1)/G91)</f>
        <v/>
      </c>
      <c r="J91" s="6">
        <f>IF(ISNA(I91),NA(),I91*264.172052/$B$17)</f>
        <v/>
      </c>
      <c r="K91" s="6">
        <f>IF(ISNA(I91),NA(),I91/B91)</f>
        <v/>
      </c>
      <c r="L91" s="6">
        <f>$B$18</f>
        <v/>
      </c>
      <c r="M91" s="6">
        <f>IF(ISNA(K91),NA(),K91/$B$11)</f>
        <v/>
      </c>
    </row>
    <row r="92" ht="15" customHeight="1">
      <c r="A92" s="6">
        <f>A91+$F$16</f>
        <v/>
      </c>
      <c r="B92" s="6">
        <f>A92*(0.00378541178/60)*$B$17</f>
        <v/>
      </c>
      <c r="C92" s="6">
        <f>B92/$B$26</f>
        <v/>
      </c>
      <c r="D92" s="6">
        <f>C92/$B$14</f>
        <v/>
      </c>
      <c r="E92" s="6">
        <f>C92/($B$6*$B$26^($B$5-1)+$B$7*C92)</f>
        <v/>
      </c>
      <c r="F92" s="6">
        <f>(1/(($B$6/$B$26)*(2*$B$28*PI()*$B$10^2*($B$27+$B$29))^$B$5+$B$7*C92))/G92</f>
        <v/>
      </c>
      <c r="G92" s="6">
        <f>$B$10*$B$25/C92</f>
        <v/>
      </c>
      <c r="H92" s="6">
        <f>$B$30*$B$31+$B$7*C92*$B$29</f>
        <v/>
      </c>
      <c r="I92" s="6">
        <f>IF(G92*H92&gt;700,NA(),$F$10*($B$10*$B$26/($B$15*$B$9))*(EXP(G92*H92)-1)/G92)</f>
        <v/>
      </c>
      <c r="J92" s="6">
        <f>IF(ISNA(I92),NA(),I92*264.172052/$B$17)</f>
        <v/>
      </c>
      <c r="K92" s="6">
        <f>IF(ISNA(I92),NA(),I92/B92)</f>
        <v/>
      </c>
      <c r="L92" s="6">
        <f>$B$18</f>
        <v/>
      </c>
      <c r="M92" s="6">
        <f>IF(ISNA(K92),NA(),K92/$B$11)</f>
        <v/>
      </c>
    </row>
    <row r="93" ht="15" customHeight="1">
      <c r="A93" s="6">
        <f>A92+$F$16</f>
        <v/>
      </c>
      <c r="B93" s="6">
        <f>A93*(0.00378541178/60)*$B$17</f>
        <v/>
      </c>
      <c r="C93" s="6">
        <f>B93/$B$26</f>
        <v/>
      </c>
      <c r="D93" s="6">
        <f>C93/$B$14</f>
        <v/>
      </c>
      <c r="E93" s="6">
        <f>C93/($B$6*$B$26^($B$5-1)+$B$7*C93)</f>
        <v/>
      </c>
      <c r="F93" s="6">
        <f>(1/(($B$6/$B$26)*(2*$B$28*PI()*$B$10^2*($B$27+$B$29))^$B$5+$B$7*C93))/G93</f>
        <v/>
      </c>
      <c r="G93" s="6">
        <f>$B$10*$B$25/C93</f>
        <v/>
      </c>
      <c r="H93" s="6">
        <f>$B$30*$B$31+$B$7*C93*$B$29</f>
        <v/>
      </c>
      <c r="I93" s="6">
        <f>IF(G93*H93&gt;700,NA(),$F$10*($B$10*$B$26/($B$15*$B$9))*(EXP(G93*H93)-1)/G93)</f>
        <v/>
      </c>
      <c r="J93" s="6">
        <f>IF(ISNA(I93),NA(),I93*264.172052/$B$17)</f>
        <v/>
      </c>
      <c r="K93" s="6">
        <f>IF(ISNA(I93),NA(),I93/B93)</f>
        <v/>
      </c>
      <c r="L93" s="6">
        <f>$B$18</f>
        <v/>
      </c>
      <c r="M93" s="6">
        <f>IF(ISNA(K93),NA(),K93/$B$11)</f>
        <v/>
      </c>
    </row>
    <row r="94" ht="15" customHeight="1">
      <c r="A94" s="6">
        <f>A93+$F$16</f>
        <v/>
      </c>
      <c r="B94" s="6">
        <f>A94*(0.00378541178/60)*$B$17</f>
        <v/>
      </c>
      <c r="C94" s="6">
        <f>B94/$B$26</f>
        <v/>
      </c>
      <c r="D94" s="6">
        <f>C94/$B$14</f>
        <v/>
      </c>
      <c r="E94" s="6">
        <f>C94/($B$6*$B$26^($B$5-1)+$B$7*C94)</f>
        <v/>
      </c>
      <c r="F94" s="6">
        <f>(1/(($B$6/$B$26)*(2*$B$28*PI()*$B$10^2*($B$27+$B$29))^$B$5+$B$7*C94))/G94</f>
        <v/>
      </c>
      <c r="G94" s="6">
        <f>$B$10*$B$25/C94</f>
        <v/>
      </c>
      <c r="H94" s="6">
        <f>$B$30*$B$31+$B$7*C94*$B$29</f>
        <v/>
      </c>
      <c r="I94" s="6">
        <f>IF(G94*H94&gt;700,NA(),$F$10*($B$10*$B$26/($B$15*$B$9))*(EXP(G94*H94)-1)/G94)</f>
        <v/>
      </c>
      <c r="J94" s="6">
        <f>IF(ISNA(I94),NA(),I94*264.172052/$B$17)</f>
        <v/>
      </c>
      <c r="K94" s="6">
        <f>IF(ISNA(I94),NA(),I94/B94)</f>
        <v/>
      </c>
      <c r="L94" s="6">
        <f>$B$18</f>
        <v/>
      </c>
      <c r="M94" s="6">
        <f>IF(ISNA(K94),NA(),K94/$B$11)</f>
        <v/>
      </c>
    </row>
    <row r="95" ht="15" customHeight="1">
      <c r="A95" s="6">
        <f>A94+$F$16</f>
        <v/>
      </c>
      <c r="B95" s="6">
        <f>A95*(0.00378541178/60)*$B$17</f>
        <v/>
      </c>
      <c r="C95" s="6">
        <f>B95/$B$26</f>
        <v/>
      </c>
      <c r="D95" s="6">
        <f>C95/$B$14</f>
        <v/>
      </c>
      <c r="E95" s="6">
        <f>B9=C95/($B$6*$B$26^($B$5-1)+$B$7*C95)</f>
        <v/>
      </c>
      <c r="F95" s="6">
        <f>(1/(($B$6/$B$26)*(2*$B$28*PI()*$B$10^2*($B$27+$B$29))^$B$5+$B$7*C95))/G95</f>
        <v/>
      </c>
      <c r="G95" s="6">
        <f>$B$10*$B$25/C95</f>
        <v/>
      </c>
      <c r="H95" s="6">
        <f>$B$30*$B$31+$B$7*C95*$B$29</f>
        <v/>
      </c>
      <c r="I95" s="6">
        <f>IF(G95*H95&gt;700,NA(),$F$10*($B$10*$B$26/($B$15*$B$9))*(EXP(G95*H95)-1)/G95)</f>
        <v/>
      </c>
      <c r="J95" s="6">
        <f>IF(ISNA(I95),NA(),I95*264.172052/$B$17)</f>
        <v/>
      </c>
      <c r="K95" s="6">
        <f>IF(ISNA(I95),NA(),I95/B95)</f>
        <v/>
      </c>
      <c r="L95" s="6">
        <f>$B$18</f>
        <v/>
      </c>
      <c r="M95" s="6">
        <f>IF(ISNA(K95),NA(),K95/$B$11)</f>
        <v/>
      </c>
    </row>
    <row r="96" ht="15" customHeight="1">
      <c r="A96" s="6">
        <f>A95+$F$16</f>
        <v/>
      </c>
      <c r="B96" s="6">
        <f>A96*(0.00378541178/60)*$B$17</f>
        <v/>
      </c>
      <c r="C96" s="6">
        <f>B96/$B$26</f>
        <v/>
      </c>
      <c r="D96" s="6">
        <f>C96/$B$14</f>
        <v/>
      </c>
      <c r="E96" s="6">
        <f>C96/($B$6*$B$26^($B$5-1)+$B$7*C96)</f>
        <v/>
      </c>
      <c r="F96" s="6">
        <f>(1/(($B$6/$B$26)*(2*$B$28*PI()*$B$10^2*($B$27+$B$29))^$B$5+$B$7*C96))/G96</f>
        <v/>
      </c>
      <c r="G96" s="6">
        <f>$B$10*$B$25/C96</f>
        <v/>
      </c>
      <c r="H96" s="6">
        <f>$B$30*$B$31+$B$7*C96*$B$29</f>
        <v/>
      </c>
      <c r="I96" s="6">
        <f>IF(G96*H96&gt;700,NA(),$F$10*($B$10*$B$26/($B$15*$B$9))*(EXP(G96*H96)-1)/G96)</f>
        <v/>
      </c>
      <c r="J96" s="6">
        <f>IF(ISNA(I96),NA(),I96*264.172052/$B$17)</f>
        <v/>
      </c>
      <c r="K96" s="6">
        <f>IF(ISNA(I96),NA(),I96/B96)</f>
        <v/>
      </c>
      <c r="L96" s="6">
        <f>$B$18</f>
        <v/>
      </c>
      <c r="M96" s="6">
        <f>IF(ISNA(K96),NA(),K96/$B$11)</f>
        <v/>
      </c>
    </row>
    <row r="97" ht="14.25" customHeight="1">
      <c r="A97">
        <f>A96+$F$16</f>
        <v/>
      </c>
      <c r="B97">
        <f>A97*(0.00378541178/60)*$B$17</f>
        <v/>
      </c>
      <c r="C97">
        <f>B97/$B$26</f>
        <v/>
      </c>
      <c r="D97">
        <f>C97/$B$14</f>
        <v/>
      </c>
      <c r="E97">
        <f>C97/($B$6*$B$26^($B$5-1)+$B$7*C97)</f>
        <v/>
      </c>
      <c r="F97">
        <f>(1/(($B$6/$B$26)*(2*$B$28*PI()*$B$10^2*($B$27+$B$29))^$B$5+$B$7*C97))/G97</f>
        <v/>
      </c>
      <c r="G97">
        <f>$B$10*$B$25/C97</f>
        <v/>
      </c>
      <c r="H97">
        <f>$B$30*$B$31+$B$7*C97*$B$29</f>
        <v/>
      </c>
      <c r="I97">
        <f>IF(G97*H97&gt;700,NA(),$F$10*($B$10*$B$26/($B$15*$B$9))*(EXP(G97*H97)-1)/G97)</f>
        <v/>
      </c>
      <c r="J97">
        <f>IF(ISNA(I97),NA(),I97*264.172052/$B$17)</f>
        <v/>
      </c>
      <c r="K97">
        <f>IF(ISNA(I97),NA(),I97/B97)</f>
        <v/>
      </c>
      <c r="L97">
        <f>$B$18</f>
        <v/>
      </c>
      <c r="M97">
        <f>IF(ISNA(K97),NA(),K97/$B$11)</f>
        <v/>
      </c>
    </row>
    <row r="98" ht="15" customHeight="1">
      <c r="A98" s="3">
        <f>A97+$F$16</f>
        <v/>
      </c>
      <c r="B98" s="3">
        <f>A98*(0.00378541178/60)*$B$17</f>
        <v/>
      </c>
      <c r="C98" s="12">
        <f>B98/$B$26</f>
        <v/>
      </c>
      <c r="D98" s="3">
        <f>C98/$B$14</f>
        <v/>
      </c>
      <c r="E98">
        <f>C98/($B$6*$B$26^($B$5-1)+$B$7*C98)</f>
        <v/>
      </c>
      <c r="F98">
        <f>(1/(($B$6/$B$26)*(2*$B$28*PI()*$B$10^2*($B$27+$B$29))^$B$5+$B$7*C98))/G98</f>
        <v/>
      </c>
      <c r="G98">
        <f>$B$10*$B$25/C98</f>
        <v/>
      </c>
      <c r="H98">
        <f>$B$30*$B$31+$B$7*C98*$B$29</f>
        <v/>
      </c>
      <c r="I98">
        <f>IF(G98*H98&gt;700,NA(),$F$10*($B$10*$B$26/($B$15*$B$9))*(EXP(G98*H98)-1)/G98)</f>
        <v/>
      </c>
      <c r="J98">
        <f>IF(ISNA(I98),NA(),I98*264.172052/$B$17)</f>
        <v/>
      </c>
      <c r="K98">
        <f>IF(ISNA(I98),NA(),I98/B98)</f>
        <v/>
      </c>
      <c r="L98">
        <f>$B$18</f>
        <v/>
      </c>
      <c r="M98">
        <f>IF(ISNA(K98),NA(),K98/$B$11)</f>
        <v/>
      </c>
    </row>
    <row r="99" ht="15" customHeight="1">
      <c r="A99">
        <f>A98+$F$16</f>
        <v/>
      </c>
      <c r="B99" s="9">
        <f>A99*(0.00378541178/60)*$B$17</f>
        <v/>
      </c>
      <c r="C99" s="13">
        <f>B99/$B$26</f>
        <v/>
      </c>
      <c r="D99" s="14">
        <f>C99/$B$14</f>
        <v/>
      </c>
      <c r="E99">
        <f>C99/($B$6*$B$26^($B$5-1)+$B$7*C99)</f>
        <v/>
      </c>
      <c r="F99">
        <f>(1/(($B$6/$B$26)*(2*$B$28*PI()*$B$10^2*($B$27+$B$29))^$B$5+$B$7*C99))/G99</f>
        <v/>
      </c>
      <c r="G99">
        <f>$B$10*$B$25/C99</f>
        <v/>
      </c>
      <c r="H99">
        <f>$B$30*$B$31+$B$7*C99*$B$29</f>
        <v/>
      </c>
      <c r="I99">
        <f>IF(G99*H99&gt;700,NA(),$F$10*($B$10*$B$26/($B$15*$B$9))*(EXP(G99*H99)-1)/G99)</f>
        <v/>
      </c>
      <c r="J99">
        <f>IF(ISNA(I99),NA(),I99*264.172052/$B$17)</f>
        <v/>
      </c>
      <c r="K99">
        <f>IF(ISNA(I99),NA(),I99/B99)</f>
        <v/>
      </c>
      <c r="L99">
        <f>$B$18</f>
        <v/>
      </c>
      <c r="M99">
        <f>IF(ISNA(K99),NA(),K99/$B$11)</f>
        <v/>
      </c>
    </row>
    <row r="100" ht="15" customHeight="1">
      <c r="A100">
        <f>A99+$F$16</f>
        <v/>
      </c>
      <c r="B100">
        <f>A100*(0.00378541178/60)*$B$17</f>
        <v/>
      </c>
      <c r="C100">
        <f>B100/$B$26</f>
        <v/>
      </c>
      <c r="D100">
        <f>C100/$B$14</f>
        <v/>
      </c>
      <c r="E100">
        <f>C100/($B$6*$B$26^($B$5-1)+$B$7*C100)</f>
        <v/>
      </c>
      <c r="F100">
        <f>(1/(($B$6/$B$26)*(2*$B$28*PI()*$B$10^2*($B$27+$B$29))^$B$5+$B$7*C100))/G100</f>
        <v/>
      </c>
      <c r="G100">
        <f>$B$10*$B$25/C100</f>
        <v/>
      </c>
      <c r="H100">
        <f>$B$30*$B$31+$B$7*C100*$B$29</f>
        <v/>
      </c>
      <c r="I100">
        <f>IF(G100*H100&gt;700,NA(),$F$10*($B$10*$B$26/($B$15*$B$9))*(EXP(G100*H100)-1)/G100)</f>
        <v/>
      </c>
      <c r="J100">
        <f>IF(ISNA(I100),NA(),I100*264.172052/$B$17)</f>
        <v/>
      </c>
      <c r="K100">
        <f>IF(ISNA(I100),NA(),I100/B100)</f>
        <v/>
      </c>
      <c r="L100">
        <f>$B$18</f>
        <v/>
      </c>
      <c r="M100">
        <f>IF(ISNA(K100),NA(),K100/$B$11)</f>
        <v/>
      </c>
    </row>
    <row r="101" ht="15" customHeight="1">
      <c r="A101">
        <f>A100+$F$16</f>
        <v/>
      </c>
      <c r="B101">
        <f>A101*(0.00378541178/60)*$B$17</f>
        <v/>
      </c>
      <c r="C101">
        <f>B101/$B$26</f>
        <v/>
      </c>
      <c r="D101">
        <f>C101/$B$14</f>
        <v/>
      </c>
      <c r="E101">
        <f>C101/($B$6*$B$26^($B$5-1)+$B$7*C101)</f>
        <v/>
      </c>
      <c r="F101">
        <f>(1/(($B$6/$B$26)*(2*$B$28*PI()*$B$10^2*($B$27+$B$29))^$B$5+$B$7*C101))/G101</f>
        <v/>
      </c>
      <c r="G101">
        <f>$B$10*$B$25/C101</f>
        <v/>
      </c>
      <c r="H101">
        <f>$B$30*$B$31+$B$7*C101*$B$29</f>
        <v/>
      </c>
      <c r="I101">
        <f>IF(G101*H101&gt;700,NA(),$F$10*($B$10*$B$26/($B$15*$B$9))*(EXP(G101*H101)-1)/G101)</f>
        <v/>
      </c>
      <c r="J101">
        <f>IF(ISNA(I101),NA(),I101*264.172052/$B$17)</f>
        <v/>
      </c>
      <c r="K101">
        <f>IF(ISNA(I101),NA(),I101/B101)</f>
        <v/>
      </c>
      <c r="L101">
        <f>$B$18</f>
        <v/>
      </c>
      <c r="M101">
        <f>IF(ISNA(K101),NA(),K101/$B$11)</f>
        <v/>
      </c>
    </row>
    <row r="102" ht="15" customHeight="1">
      <c r="A102">
        <f>A101+$F$16</f>
        <v/>
      </c>
      <c r="B102">
        <f>A102*(0.00378541178/60)*$B$17</f>
        <v/>
      </c>
      <c r="C102">
        <f>B102/$B$26</f>
        <v/>
      </c>
      <c r="D102">
        <f>C102/$B$14</f>
        <v/>
      </c>
      <c r="E102">
        <f>C102/($B$6*$B$26^($B$5-1)+$B$7*C102)</f>
        <v/>
      </c>
      <c r="F102">
        <f>(1/(($B$6/$B$26)*(2*$B$28*PI()*$B$10^2*($B$27+$B$29))^$B$5+$B$7*C102))/G102</f>
        <v/>
      </c>
      <c r="G102">
        <f>$B$10*$B$25/C102</f>
        <v/>
      </c>
      <c r="H102">
        <f>$B$30*$B$31+$B$7*C102*$B$29</f>
        <v/>
      </c>
      <c r="I102">
        <f>IF(G102*H102&gt;700,NA(),$F$10*($B$10*$B$26/($B$15*$B$9))*(EXP(G102*H102)-1)/G102)</f>
        <v/>
      </c>
      <c r="J102">
        <f>IF(ISNA(I102),NA(),I102*264.172052/$B$17)</f>
        <v/>
      </c>
      <c r="K102">
        <f>IF(ISNA(I102),NA(),I102/B102)</f>
        <v/>
      </c>
      <c r="L102">
        <f>$B$18</f>
        <v/>
      </c>
      <c r="M102">
        <f>IF(ISNA(K102),NA(),K102/$B$11)</f>
        <v/>
      </c>
    </row>
    <row r="103" ht="14.25" customHeight="1">
      <c r="A103">
        <f>A102+$F$16</f>
        <v/>
      </c>
      <c r="B103">
        <f>A103*(0.00378541178/60)*$B$17</f>
        <v/>
      </c>
      <c r="C103">
        <f>B103/$B$26</f>
        <v/>
      </c>
      <c r="D103">
        <f>C103/$B$14</f>
        <v/>
      </c>
      <c r="E103">
        <f>C103/($B$6*$B$26^($B$5-1)+$B$7*C103)</f>
        <v/>
      </c>
      <c r="F103">
        <f>(1/(($B$6/$B$26)*(2*$B$28*PI()*$B$10^2*($B$27+$B$29))^$B$5+$B$7*C103))/G103</f>
        <v/>
      </c>
      <c r="G103">
        <f>$B$10*$B$25/C103</f>
        <v/>
      </c>
      <c r="H103">
        <f>$B$30*$B$31+$B$7*C103*$B$29</f>
        <v/>
      </c>
      <c r="I103">
        <f>IF(G103*H103&gt;700,NA(),$F$10*($B$10*$B$26/($B$15*$B$9))*(EXP(G103*H103)-1)/G103)</f>
        <v/>
      </c>
      <c r="J103">
        <f>IF(ISNA(I103),NA(),I103*264.172052/$B$17)</f>
        <v/>
      </c>
      <c r="K103">
        <f>IF(ISNA(I103),NA(),I103/B103)</f>
        <v/>
      </c>
      <c r="L103">
        <f>$B$18</f>
        <v/>
      </c>
      <c r="M103">
        <f>IF(ISNA(K103),NA(),K103/$B$11)</f>
        <v/>
      </c>
    </row>
    <row r="104" ht="14.25" customHeight="1">
      <c r="A104">
        <f>A103+$F$16</f>
        <v/>
      </c>
      <c r="B104">
        <f>A104*(0.00378541178/60)*$B$17</f>
        <v/>
      </c>
      <c r="C104">
        <f>B104/$B$26</f>
        <v/>
      </c>
      <c r="D104">
        <f>C104/$B$14</f>
        <v/>
      </c>
      <c r="E104">
        <f>C104/($B$6*$B$26^($B$5-1)+$B$7*C104)</f>
        <v/>
      </c>
      <c r="F104">
        <f>(1/(($B$6/$B$26)*(2*$B$28*PI()*$B$10^2*($B$27+$B$29))^$B$5+$B$7*C104))/G104</f>
        <v/>
      </c>
      <c r="G104">
        <f>$B$10*$B$25/C104</f>
        <v/>
      </c>
      <c r="H104">
        <f>$B$30*$B$31+$B$7*C104*$B$29</f>
        <v/>
      </c>
      <c r="I104">
        <f>IF(G104*H104&gt;700,NA(),$F$10*($B$10*$B$26/($B$15*$B$9))*(EXP(G104*H104)-1)/G104)</f>
        <v/>
      </c>
      <c r="J104">
        <f>IF(ISNA(I104),NA(),I104*264.172052/$B$17)</f>
        <v/>
      </c>
      <c r="K104">
        <f>IF(ISNA(I104),NA(),I104/B104)</f>
        <v/>
      </c>
      <c r="L104">
        <f>$B$18</f>
        <v/>
      </c>
      <c r="M104">
        <f>IF(ISNA(K104),NA(),K104/$B$11)</f>
        <v/>
      </c>
    </row>
    <row r="105" ht="15" customHeight="1">
      <c r="A105">
        <f>A104+$F$16</f>
        <v/>
      </c>
      <c r="B105">
        <f>A105*(0.00378541178/60)*$B$17</f>
        <v/>
      </c>
      <c r="C105">
        <f>B105/$B$26</f>
        <v/>
      </c>
      <c r="D105">
        <f>C105/$B$14</f>
        <v/>
      </c>
      <c r="E105">
        <f>C105/($B$6*$B$26^($B$5-1)+$B$7*C105)</f>
        <v/>
      </c>
      <c r="F105">
        <f>(1/(($B$6/$B$26)*(2*$B$28*PI()*$B$10^2*($B$27+$B$29))^$B$5+$B$7*C105))/G105</f>
        <v/>
      </c>
      <c r="G105">
        <f>$B$10*$B$25/C105</f>
        <v/>
      </c>
      <c r="H105">
        <f>$B$30*$B$31+$B$7*C105*$B$29</f>
        <v/>
      </c>
      <c r="I105">
        <f>IF(G105*H105&gt;700,NA(),$F$10*($B$10*$B$26/($B$15*$B$9))*(EXP(G105*H105)-1)/G105)</f>
        <v/>
      </c>
      <c r="J105">
        <f>IF(ISNA(I105),NA(),I105*264.172052/$B$17)</f>
        <v/>
      </c>
      <c r="K105">
        <f>IF(ISNA(I105),NA(),I105/B105)</f>
        <v/>
      </c>
      <c r="L105">
        <f>$B$18</f>
        <v/>
      </c>
      <c r="M105">
        <f>IF(ISNA(K105),NA(),K105/$B$11)</f>
        <v/>
      </c>
    </row>
    <row r="106" ht="27.75" customHeight="1">
      <c r="A106">
        <f>A105+$F$16</f>
        <v/>
      </c>
      <c r="B106">
        <f>A106*(0.00378541178/60)*$B$17</f>
        <v/>
      </c>
      <c r="C106">
        <f>B106/$B$26</f>
        <v/>
      </c>
      <c r="D106">
        <f>C106/$B$14</f>
        <v/>
      </c>
      <c r="E106">
        <f>C106/($B$6*$B$26^($B$5-1)+$B$7*C106)</f>
        <v/>
      </c>
      <c r="F106">
        <f>(1/(($B$6/$B$26)*(2*$B$28*PI()*$B$10^2*($B$27+$B$29))^$B$5+$B$7*C106))/G106</f>
        <v/>
      </c>
      <c r="G106">
        <f>$B$10*$B$25/C106</f>
        <v/>
      </c>
      <c r="H106">
        <f>$B$30*$B$31+$B$7*C106*$B$29</f>
        <v/>
      </c>
      <c r="I106">
        <f>IF(G106*H106&gt;700,NA(),$F$10*($B$10*$B$26/($B$15*$B$9))*(EXP(G106*H106)-1)/G106)</f>
        <v/>
      </c>
      <c r="J106">
        <f>IF(ISNA(I106),NA(),I106*264.172052/$B$17)</f>
        <v/>
      </c>
      <c r="K106">
        <f>IF(ISNA(I106),NA(),I106/B106)</f>
        <v/>
      </c>
      <c r="L106">
        <f>$B$18</f>
        <v/>
      </c>
      <c r="M106">
        <f>IF(ISNA(K106),NA(),K106/$B$11)</f>
        <v/>
      </c>
    </row>
    <row r="107" ht="15" customHeight="1">
      <c r="A107">
        <f>A106+$F$16</f>
        <v/>
      </c>
      <c r="B107">
        <f>A107*(0.00378541178/60)*$B$17</f>
        <v/>
      </c>
      <c r="C107">
        <f>B107/$B$26</f>
        <v/>
      </c>
      <c r="D107">
        <f>C107/$B$14</f>
        <v/>
      </c>
      <c r="E107">
        <f>C107/($B$6*$B$26^($B$5-1)+$B$7*C107)</f>
        <v/>
      </c>
      <c r="F107">
        <f>(1/(($B$6/$B$26)*(2*$B$28*PI()*$B$10^2*($B$27+$B$29))^$B$5+$B$7*C107))/G107</f>
        <v/>
      </c>
      <c r="G107">
        <f>$B$10*$B$25/C107</f>
        <v/>
      </c>
      <c r="H107">
        <f>$B$30*$B$31+$B$7*C107*$B$29</f>
        <v/>
      </c>
      <c r="I107">
        <f>IF(G107*H107&gt;700,NA(),$F$10*($B$10*$B$26/($B$15*$B$9))*(EXP(G107*H107)-1)/G107)</f>
        <v/>
      </c>
      <c r="J107">
        <f>IF(ISNA(I107),NA(),I107*264.172052/$B$17)</f>
        <v/>
      </c>
      <c r="K107">
        <f>IF(ISNA(I107),NA(),I107/B107)</f>
        <v/>
      </c>
      <c r="L107">
        <f>$B$18</f>
        <v/>
      </c>
      <c r="M107">
        <f>IF(ISNA(K107),NA(),K107/$B$11)</f>
        <v/>
      </c>
    </row>
    <row r="108" ht="15" customHeight="1">
      <c r="A108">
        <f>A107+$F$16</f>
        <v/>
      </c>
      <c r="B108">
        <f>A108*(0.00378541178/60)*$B$17</f>
        <v/>
      </c>
      <c r="C108">
        <f>B108/$B$26</f>
        <v/>
      </c>
      <c r="D108">
        <f>C108/$B$14</f>
        <v/>
      </c>
      <c r="E108">
        <f>C108/($B$6*$B$26^($B$5-1)+$B$7*C108)</f>
        <v/>
      </c>
      <c r="F108">
        <f>(1/(($B$6/$B$26)*(2*$B$28*PI()*$B$10^2*($B$27+$B$29))^$B$5+$B$7*C108))/G108</f>
        <v/>
      </c>
      <c r="G108">
        <f>$B$10*$B$25/C108</f>
        <v/>
      </c>
      <c r="H108">
        <f>$B$30*$B$31+$B$7*C108*$B$29</f>
        <v/>
      </c>
      <c r="I108">
        <f>IF(G108*H108&gt;700,NA(),$F$10*($B$10*$B$26/($B$15*$B$9))*(EXP(G108*H108)-1)/G108)</f>
        <v/>
      </c>
      <c r="J108">
        <f>IF(ISNA(I108),NA(),I108*264.172052/$B$17)</f>
        <v/>
      </c>
      <c r="K108">
        <f>IF(ISNA(I108),NA(),I108/B108)</f>
        <v/>
      </c>
      <c r="L108">
        <f>$B$18</f>
        <v/>
      </c>
      <c r="M108">
        <f>IF(ISNA(K108),NA(),K108/$B$11)</f>
        <v/>
      </c>
    </row>
    <row r="109" ht="15" customHeight="1">
      <c r="A109">
        <f>A108+$F$16</f>
        <v/>
      </c>
      <c r="B109">
        <f>A109*(0.00378541178/60)*$B$17</f>
        <v/>
      </c>
      <c r="C109">
        <f>B109/$B$26</f>
        <v/>
      </c>
      <c r="D109">
        <f>C109/$B$14</f>
        <v/>
      </c>
      <c r="E109">
        <f>C109/($B$6*$B$26^($B$5-1)+$B$7*C109)</f>
        <v/>
      </c>
      <c r="F109">
        <f>(1/(($B$6/$B$26)*(2*$B$28*PI()*$B$10^2*($B$27+$B$29))^$B$5+$B$7*C109))/G109</f>
        <v/>
      </c>
      <c r="G109">
        <f>$B$10*$B$25/C109</f>
        <v/>
      </c>
      <c r="H109">
        <f>$B$30*$B$31+$B$7*C109*$B$29</f>
        <v/>
      </c>
      <c r="I109">
        <f>IF(G109*H109&gt;700,NA(),$F$10*($B$10*$B$26/($B$15*$B$9))*(EXP(G109*H109)-1)/G109)</f>
        <v/>
      </c>
      <c r="J109">
        <f>IF(ISNA(I109),NA(),I109*264.172052/$B$17)</f>
        <v/>
      </c>
      <c r="K109">
        <f>IF(ISNA(I109),NA(),I109/B109)</f>
        <v/>
      </c>
      <c r="L109">
        <f>$B$18</f>
        <v/>
      </c>
      <c r="M109">
        <f>IF(ISNA(K109),NA(),K109/$B$11)</f>
        <v/>
      </c>
    </row>
    <row r="110" ht="15" customHeight="1">
      <c r="A110">
        <f>A109+$F$16</f>
        <v/>
      </c>
      <c r="B110">
        <f>A110*(0.00378541178/60)*$B$17</f>
        <v/>
      </c>
      <c r="C110">
        <f>B110/$B$26</f>
        <v/>
      </c>
      <c r="D110">
        <f>C110/$B$14</f>
        <v/>
      </c>
      <c r="E110">
        <f>C110/($B$6*$B$26^($B$5-1)+$B$7*C110)</f>
        <v/>
      </c>
      <c r="F110">
        <f>(1/(($B$6/$B$26)*(2*$B$28*PI()*$B$10^2*($B$27+$B$29))^$B$5+$B$7*C110))/G110</f>
        <v/>
      </c>
      <c r="G110">
        <f>$B$10*$B$25/C110</f>
        <v/>
      </c>
      <c r="H110">
        <f>$B$30*$B$31+$B$7*C110*$B$29</f>
        <v/>
      </c>
      <c r="I110">
        <f>IF(G110*H110&gt;700,NA(),$F$10*($B$10*$B$26/($B$15*$B$9))*(EXP(G110*H110)-1)/G110)</f>
        <v/>
      </c>
      <c r="J110">
        <f>IF(ISNA(I110),NA(),I110*264.172052/$B$17)</f>
        <v/>
      </c>
      <c r="K110">
        <f>IF(ISNA(I110),NA(),I110/B110)</f>
        <v/>
      </c>
      <c r="L110">
        <f>$B$18</f>
        <v/>
      </c>
      <c r="M110">
        <f>IF(ISNA(K110),NA(),K110/$B$11)</f>
        <v/>
      </c>
    </row>
    <row r="111" ht="15" customHeight="1">
      <c r="A111">
        <f>A110+$F$16</f>
        <v/>
      </c>
      <c r="B111">
        <f>A111*(0.00378541178/60)*$B$17</f>
        <v/>
      </c>
      <c r="C111">
        <f>B111/$B$26</f>
        <v/>
      </c>
      <c r="D111">
        <f>C111/$B$14</f>
        <v/>
      </c>
      <c r="E111">
        <f>C111/($B$6*$B$26^($B$5-1)+$B$7*C111)</f>
        <v/>
      </c>
      <c r="F111">
        <f>(1/(($B$6/$B$26)*(2*$B$28*PI()*$B$10^2*($B$27+$B$29))^$B$5+$B$7*C111))/G111</f>
        <v/>
      </c>
      <c r="G111">
        <f>$B$10*$B$25/C111</f>
        <v/>
      </c>
      <c r="H111">
        <f>$B$30*$B$31+$B$7*C111*$B$29</f>
        <v/>
      </c>
      <c r="I111">
        <f>IF(G111*H111&gt;700,NA(),$F$10*($B$10*$B$26/($B$15*$B$9))*(EXP(G111*H111)-1)/G111)</f>
        <v/>
      </c>
      <c r="J111">
        <f>IF(ISNA(I111),NA(),I111*264.172052/$B$17)</f>
        <v/>
      </c>
      <c r="K111">
        <f>IF(ISNA(I111),NA(),I111/B111)</f>
        <v/>
      </c>
      <c r="L111">
        <f>$B$18</f>
        <v/>
      </c>
      <c r="M111">
        <f>IF(ISNA(K111),NA(),K111/$B$11)</f>
        <v/>
      </c>
    </row>
    <row r="112" ht="15" customHeight="1">
      <c r="A112">
        <f>A111+$F$16</f>
        <v/>
      </c>
      <c r="B112">
        <f>A112*(0.00378541178/60)*$B$17</f>
        <v/>
      </c>
      <c r="C112">
        <f>B112/$B$26</f>
        <v/>
      </c>
      <c r="D112">
        <f>C112/$B$14</f>
        <v/>
      </c>
      <c r="E112">
        <f>C112/($B$6*$B$26^($B$5-1)+$B$7*C112)</f>
        <v/>
      </c>
      <c r="F112">
        <f>(1/(($B$6/$B$26)*(2*$B$28*PI()*$B$10^2*($B$27+$B$29))^$B$5+$B$7*C112))/G112</f>
        <v/>
      </c>
      <c r="G112">
        <f>$B$10*$B$25/C112</f>
        <v/>
      </c>
      <c r="H112">
        <f>$B$30*$B$31+$B$7*C112*$B$29</f>
        <v/>
      </c>
      <c r="I112">
        <f>IF(G112*H112&gt;700,NA(),$F$10*($B$10*$B$26/($B$15*$B$9))*(EXP(G112*H112)-1)/G112)</f>
        <v/>
      </c>
      <c r="J112">
        <f>IF(ISNA(I112),NA(),I112*264.172052/$B$17)</f>
        <v/>
      </c>
      <c r="K112">
        <f>IF(ISNA(I112),NA(),I112/B112)</f>
        <v/>
      </c>
      <c r="L112">
        <f>$B$18</f>
        <v/>
      </c>
      <c r="M112">
        <f>IF(ISNA(K112),NA(),K112/$B$11)</f>
        <v/>
      </c>
    </row>
    <row r="113" ht="15" customHeight="1">
      <c r="A113">
        <f>A112+$F$16</f>
        <v/>
      </c>
      <c r="B113">
        <f>A113*(0.00378541178/60)*$B$17</f>
        <v/>
      </c>
      <c r="C113">
        <f>B113/$B$26</f>
        <v/>
      </c>
      <c r="D113">
        <f>C113/$B$14</f>
        <v/>
      </c>
      <c r="E113">
        <f>C113/($B$6*$B$26^($B$5-1)+$B$7*C113)</f>
        <v/>
      </c>
      <c r="F113">
        <f>(1/(($B$6/$B$26)*(2*$B$28*PI()*$B$10^2*($B$27+$B$29))^$B$5+$B$7*C113))/G113</f>
        <v/>
      </c>
      <c r="G113">
        <f>$B$10*$B$25/C113</f>
        <v/>
      </c>
      <c r="H113">
        <f>$B$30*$B$31+$B$7*C113*$B$29</f>
        <v/>
      </c>
      <c r="I113">
        <f>IF(G113*H113&gt;700,NA(),$F$10*($B$10*$B$26/($B$15*$B$9))*(EXP(G113*H113)-1)/G113)</f>
        <v/>
      </c>
      <c r="J113">
        <f>IF(ISNA(I113),NA(),I113*264.172052/$B$17)</f>
        <v/>
      </c>
      <c r="K113">
        <f>IF(ISNA(I113),NA(),I113/B113)</f>
        <v/>
      </c>
      <c r="L113">
        <f>$B$18</f>
        <v/>
      </c>
      <c r="M113">
        <f>IF(ISNA(K113),NA(),K113/$B$11)</f>
        <v/>
      </c>
    </row>
    <row r="114">
      <c r="A114">
        <f>A113+$F$16</f>
        <v/>
      </c>
      <c r="B114">
        <f>A114*(0.00378541178/60)*$B$17</f>
        <v/>
      </c>
      <c r="C114">
        <f>B114/$B$26</f>
        <v/>
      </c>
      <c r="D114">
        <f>C114/$B$14</f>
        <v/>
      </c>
      <c r="E114">
        <f>C114/($B$6*$B$26^($B$5-1)+$B$7*C114)</f>
        <v/>
      </c>
      <c r="F114">
        <f>(1/(($B$6/$B$26)*(2*$B$28*PI()*$B$10^2*($B$27+$B$29))^$B$5+$B$7*C114))/G114</f>
        <v/>
      </c>
      <c r="G114">
        <f>$B$10*$B$25/C114</f>
        <v/>
      </c>
      <c r="H114">
        <f>$B$30*$B$31+$B$7*C114*$B$29</f>
        <v/>
      </c>
      <c r="I114">
        <f>IF(G114*H114&gt;700,NA(),$F$10*($B$10*$B$26/($B$15*$B$9))*(EXP(G114*H114)-1)/G114)</f>
        <v/>
      </c>
      <c r="J114">
        <f>IF(ISNA(I114),NA(),I114*264.172052/$B$17)</f>
        <v/>
      </c>
      <c r="K114">
        <f>IF(ISNA(I114),NA(),I114/B114)</f>
        <v/>
      </c>
      <c r="L114">
        <f>$B$18</f>
        <v/>
      </c>
      <c r="M114">
        <f>IF(ISNA(K114),NA(),K114/$B$11)</f>
        <v/>
      </c>
    </row>
    <row r="115">
      <c r="A115">
        <f>A114+$F$16</f>
        <v/>
      </c>
      <c r="B115">
        <f>A115*(0.00378541178/60)*$B$17</f>
        <v/>
      </c>
      <c r="C115">
        <f>B115/$B$26</f>
        <v/>
      </c>
      <c r="D115">
        <f>C115/$B$14</f>
        <v/>
      </c>
      <c r="E115">
        <f>C115/($B$6*$B$26^($B$5-1)+$B$7*C115)</f>
        <v/>
      </c>
      <c r="F115">
        <f>(1/(($B$6/$B$26)*(2*$B$28*PI()*$B$10^2*($B$27+$B$29))^$B$5+$B$7*C115))/G115</f>
        <v/>
      </c>
      <c r="G115">
        <f>$B$10*$B$25/C115</f>
        <v/>
      </c>
      <c r="H115">
        <f>$B$30*$B$31+$B$7*C115*$B$29</f>
        <v/>
      </c>
      <c r="I115">
        <f>IF(G115*H115&gt;700,NA(),$F$10*($B$10*$B$26/($B$15*$B$9))*(EXP(G115*H115)-1)/G115)</f>
        <v/>
      </c>
      <c r="J115">
        <f>IF(ISNA(I115),NA(),I115*264.172052/$B$17)</f>
        <v/>
      </c>
      <c r="K115">
        <f>IF(ISNA(I115),NA(),I115/B115)</f>
        <v/>
      </c>
      <c r="L115">
        <f>$B$18</f>
        <v/>
      </c>
      <c r="M115">
        <f>IF(ISNA(K115),NA(),K115/$B$11)</f>
        <v/>
      </c>
    </row>
    <row r="116" ht="15" customHeight="1">
      <c r="A116">
        <f>A115+$F$16</f>
        <v/>
      </c>
      <c r="B116">
        <f>A116*(0.00378541178/60)*$B$17</f>
        <v/>
      </c>
      <c r="C116">
        <f>B116/$B$26</f>
        <v/>
      </c>
      <c r="D116">
        <f>C116/$B$14</f>
        <v/>
      </c>
      <c r="E116">
        <f>C116/($B$6*$B$26^($B$5-1)+$B$7*C116)</f>
        <v/>
      </c>
      <c r="F116">
        <f>(1/(($B$6/$B$26)*(2*$B$28*PI()*$B$10^2*($B$27+$B$29))^$B$5+$B$7*C116))/G116</f>
        <v/>
      </c>
      <c r="G116">
        <f>$B$10*$B$25/C116</f>
        <v/>
      </c>
      <c r="H116">
        <f>$B$30*$B$31+$B$7*C116*$B$29</f>
        <v/>
      </c>
      <c r="I116">
        <f>IF(G116*H116&gt;700,NA(),$F$10*($B$10*$B$26/($B$15*$B$9))*(EXP(G116*H116)-1)/G116)</f>
        <v/>
      </c>
      <c r="J116">
        <f>IF(ISNA(I116),NA(),I116*264.172052/$B$17)</f>
        <v/>
      </c>
      <c r="K116">
        <f>IF(ISNA(I116),NA(),I116/B116)</f>
        <v/>
      </c>
      <c r="L116">
        <f>$B$18</f>
        <v/>
      </c>
      <c r="M116">
        <f>IF(ISNA(K116),NA(),K116/$B$11)</f>
        <v/>
      </c>
    </row>
    <row r="117" ht="15" customHeight="1"/>
    <row r="118" ht="14.25" customHeight="1">
      <c r="A118" s="3" t="inlineStr">
        <is>
          <t>q_opt E JANELA DE VALIDADE</t>
        </is>
      </c>
      <c r="B118" s="3" t="inlineStr">
        <is>
          <t>planilha</t>
        </is>
      </c>
      <c r="C118" s="12" t="inlineStr">
        <is>
          <t>PVBtCalc</t>
        </is>
      </c>
      <c r="D118" s="3" t="inlineStr">
        <is>
          <t xml:space="preserve">  </t>
        </is>
      </c>
    </row>
    <row r="119" ht="14.25" customHeight="1">
      <c r="A119" t="inlineStr">
        <is>
          <t>V_A minimo [gal/ft]</t>
        </is>
      </c>
      <c r="B119" s="9">
        <f>MIN(J37:J116)</f>
        <v/>
      </c>
      <c r="C119" s="13" t="n"/>
      <c r="D119" s="14">
        <f>IF(C119="","",ABS(C119-B119)/B119)</f>
        <v/>
      </c>
    </row>
    <row r="120" ht="15" customHeight="1">
      <c r="A120" t="inlineStr">
        <is>
          <t>q_opt [gal/(ft.min)]</t>
        </is>
      </c>
      <c r="B120" s="9">
        <f>INDEX(A37:A116,MATCH(MIN(J37:J116),J37:J116,0))</f>
        <v/>
      </c>
      <c r="C120" s="13" t="n"/>
      <c r="D120" s="14">
        <f>IF(C120="","",ABS(C120-B120)/B120)</f>
        <v/>
      </c>
    </row>
    <row r="121" ht="15" customHeight="1">
      <c r="A121" t="inlineStr">
        <is>
          <t>validity_min [gal/(ft.min)]</t>
        </is>
      </c>
      <c r="B121" s="9">
        <f>B120/10</f>
        <v/>
      </c>
      <c r="C121" s="13" t="n"/>
      <c r="D121" s="14">
        <f>IF(C121="","",ABS(C121-B121)/B121)</f>
        <v/>
      </c>
    </row>
    <row r="122" ht="15" customHeight="1">
      <c r="A122" t="inlineStr">
        <is>
          <t>validity_max [gal/(ft.min)]</t>
        </is>
      </c>
      <c r="B122" s="9">
        <f>B120*10</f>
        <v/>
      </c>
      <c r="C122" s="13" t="n"/>
      <c r="D122" s="14">
        <f>IF(C122="","",ABS(C122-B122)/B122)</f>
        <v/>
      </c>
    </row>
    <row r="123" ht="15" customHeight="1">
      <c r="A123" s="22" t="inlineStr">
        <is>
          <t>minimo interior?</t>
        </is>
      </c>
      <c r="B123">
        <f>IF(OR(MATCH(MIN(J37:J116),J37:J116,0)=1,MATCH(MIN(J37:J116),J37:J116,0)=80),"NAO — o minimo caiu na borda do sweep; q_opt esta fora de F13:F14, amplie","SIM")</f>
        <v/>
      </c>
    </row>
    <row r="124" ht="15" customHeight="1">
      <c r="A124" s="22" t="inlineStr">
        <is>
          <t>caso dentro do dominio pratico?</t>
        </is>
      </c>
      <c r="B124">
        <f>IF(B119&gt;700,"NAO — V_A acima de 700 gal/ft (faixa de campo de Burton et al., 5–700). Reduza o alvo ou a temperatura.",IF(B119&lt;5,"abaixo de 5 gal/ft — verifique o alvo","SIM"))</f>
        <v/>
      </c>
    </row>
    <row r="125" ht="15" customHeight="1">
      <c r="A125" s="3" t="inlineStr">
        <is>
          <t>PONTOS DE COMPARACAO — leia da TABELA (painel 05), nao do grafico</t>
        </is>
      </c>
      <c r="B125" s="15" t="n"/>
      <c r="C125" s="15" t="n"/>
      <c r="D125" s="15" t="n"/>
      <c r="E125" s="15" t="n"/>
    </row>
    <row r="126" ht="15" customHeight="1">
      <c r="A126" s="11" t="inlineStr">
        <is>
          <t>q0 [gal/(ft.min)]</t>
        </is>
      </c>
      <c r="B126" s="11" t="inlineStr">
        <is>
          <t>V_A planilha [gal/ft]</t>
        </is>
      </c>
      <c r="C126" s="16" t="inlineStr">
        <is>
          <t>V_A PVBtCalc [gal/ft]</t>
        </is>
      </c>
      <c r="D126" s="11" t="inlineStr">
        <is>
          <t>dif %</t>
        </is>
      </c>
      <c r="E126" s="11" t="inlineStr">
        <is>
          <t>por que este ponto</t>
        </is>
      </c>
    </row>
    <row r="127" ht="15" customHeight="1">
      <c r="A127" s="5" t="n">
        <v>0.1008</v>
      </c>
      <c r="B127" s="6">
        <f>IF((($B$10*$B$25)/((A127*0.00378541178/60*$B$17)/$B$26)) * ($B$30*$B$31+$B$7*((A127*0.00378541178/60*$B$17)/$B$26)*$B$29)&gt;700, NA(), (($B$10*$B$26/($B$15*$B$9))*(EXP((($B$10*$B$25)/((A127*0.00378541178/60*$B$17)/$B$26))*($B$30*$B$31+$B$7*((A127*0.00378541178/60*$B$17)/$B$26)*$B$29))-1)/(($B$10*$B$25)/((A127*0.00378541178/60*$B$17)/$B$26))))*264.172052/$B$17</f>
        <v/>
      </c>
      <c r="C127" s="21" t="n"/>
      <c r="D127" s="14">
        <f>IF(C127="","",ABS(C127-B127)/B127)</f>
        <v/>
      </c>
      <c r="E127" s="2" t="inlineStr">
        <is>
          <t>extremo inferior — testa o termo exponencial, onde erro de formula amplifica</t>
        </is>
      </c>
    </row>
    <row r="128" ht="15" customHeight="1">
      <c r="A128" s="5" t="n">
        <v>0.858713924050633</v>
      </c>
      <c r="B128" s="6">
        <f>IF((($B$10*$B$25)/((A128*0.00378541178/60*$B$17)/$B$26)) * ($B$30*$B$31+$B$7*((A128*0.00378541178/60*$B$17)/$B$26)*$B$29)&gt;700, NA(), (($B$10*$B$26/($B$15*$B$9))*(EXP((($B$10*$B$25)/((A128*0.00378541178/60*$B$17)/$B$26))*($B$30*$B$31+$B$7*((A128*0.00378541178/60*$B$17)/$B$26)*$B$29))-1)/(($B$10*$B$25)/((A128*0.00378541178/60*$B$17)/$B$26))))*264.172052/$B$17</f>
        <v/>
      </c>
      <c r="C128" s="21" t="n"/>
      <c r="D128" s="14">
        <f>IF(C128="","",ABS(C128-B128)/B128)</f>
        <v/>
      </c>
      <c r="E128" s="2" t="inlineStr">
        <is>
          <t>ainda na subida — sensivel</t>
        </is>
      </c>
    </row>
    <row r="129" ht="15" customHeight="1">
      <c r="A129" s="5" t="n">
        <v>1.23767088607595</v>
      </c>
      <c r="B129" s="6">
        <f>IF((($B$10*$B$25)/((A129*0.00378541178/60*$B$17)/$B$26)) * ($B$30*$B$31+$B$7*((A129*0.00378541178/60*$B$17)/$B$26)*$B$29)&gt;700, NA(), (($B$10*$B$26/($B$15*$B$9))*(EXP((($B$10*$B$25)/((A129*0.00378541178/60*$B$17)/$B$26))*($B$30*$B$31+$B$7*((A129*0.00378541178/60*$B$17)/$B$26)*$B$29))-1)/(($B$10*$B$25)/((A129*0.00378541178/60*$B$17)/$B$26))))*264.172052/$B$17</f>
        <v/>
      </c>
      <c r="C129" s="21" t="n"/>
      <c r="D129" s="14">
        <f>IF(C129="","",ABS(C129-B129)/B129)</f>
        <v/>
      </c>
      <c r="E129" s="2" t="inlineStr">
        <is>
          <t>entrando no fundo do U</t>
        </is>
      </c>
    </row>
    <row r="130" ht="15" customHeight="1">
      <c r="A130" s="5" t="n">
        <v>1.49030886075949</v>
      </c>
      <c r="B130" s="6">
        <f>IF((($B$10*$B$25)/((A130*0.00378541178/60*$B$17)/$B$26)) * ($B$30*$B$31+$B$7*((A130*0.00378541178/60*$B$17)/$B$26)*$B$29)&gt;700, NA(), (($B$10*$B$26/($B$15*$B$9))*(EXP((($B$10*$B$25)/((A130*0.00378541178/60*$B$17)/$B$26))*($B$30*$B$31+$B$7*((A130*0.00378541178/60*$B$17)/$B$26)*$B$29))-1)/(($B$10*$B$25)/((A130*0.00378541178/60*$B$17)/$B$26))))*264.172052/$B$17</f>
        <v/>
      </c>
      <c r="C130" s="21" t="n"/>
      <c r="D130" s="14">
        <f>IF(C130="","",ABS(C130-B130)/B130)</f>
        <v/>
      </c>
      <c r="E130" s="2" t="inlineStr">
        <is>
          <t>PERTO DO MINIMO — se bater aqui, a curva toda provavelmente esta certa</t>
        </is>
      </c>
    </row>
    <row r="131" ht="15" customHeight="1">
      <c r="A131" s="5" t="n">
        <v>1.74294683544304</v>
      </c>
      <c r="B131" s="6">
        <f>IF((($B$10*$B$25)/((A131*0.00378541178/60*$B$17)/$B$26)) * ($B$30*$B$31+$B$7*((A131*0.00378541178/60*$B$17)/$B$26)*$B$29)&gt;700, NA(), (($B$10*$B$26/($B$15*$B$9))*(EXP((($B$10*$B$25)/((A131*0.00378541178/60*$B$17)/$B$26))*($B$30*$B$31+$B$7*((A131*0.00378541178/60*$B$17)/$B$26)*$B$29))-1)/(($B$10*$B$25)/((A131*0.00378541178/60*$B$17)/$B$26))))*264.172052/$B$17</f>
        <v/>
      </c>
      <c r="C131" s="21" t="n"/>
      <c r="D131" s="14">
        <f>IF(C131="","",ABS(C131-B131)/B131)</f>
        <v/>
      </c>
      <c r="E131" s="2" t="inlineStr">
        <is>
          <t>saindo do minimo</t>
        </is>
      </c>
    </row>
    <row r="132" ht="15" customHeight="1">
      <c r="A132" s="5" t="n">
        <v>5.65883544303798</v>
      </c>
      <c r="B132" s="6">
        <f>IF((($B$10*$B$25)/((A132*0.00378541178/60*$B$17)/$B$26)) * ($B$30*$B$31+$B$7*((A132*0.00378541178/60*$B$17)/$B$26)*$B$29)&gt;700, NA(), (($B$10*$B$26/($B$15*$B$9))*(EXP((($B$10*$B$25)/((A132*0.00378541178/60*$B$17)/$B$26))*($B$30*$B$31+$B$7*((A132*0.00378541178/60*$B$17)/$B$26)*$B$29))-1)/(($B$10*$B$25)/((A132*0.00378541178/60*$B$17)/$B$26))))*264.172052/$B$17</f>
        <v/>
      </c>
      <c r="C132" s="13" t="n"/>
      <c r="D132" s="14">
        <f>IF(C132="","",ABS(C132-B132)/B132)</f>
        <v/>
      </c>
      <c r="E132" s="2" t="inlineStr">
        <is>
          <t>ramo direito</t>
        </is>
      </c>
    </row>
    <row r="133" ht="14.25" customHeight="1">
      <c r="A133" s="5" t="n">
        <v>10.08</v>
      </c>
      <c r="B133" s="6">
        <f>IF((($B$10*$B$25)/((A133*0.00378541178/60*$B$17)/$B$26)) * ($B$30*$B$31+$B$7*((A133*0.00378541178/60*$B$17)/$B$26)*$B$29)&gt;700, NA(), (($B$10*$B$26/($B$15*$B$9))*(EXP((($B$10*$B$25)/((A133*0.00378541178/60*$B$17)/$B$26))*($B$30*$B$31+$B$7*((A133*0.00378541178/60*$B$17)/$B$26)*$B$29))-1)/(($B$10*$B$25)/((A133*0.00378541178/60*$B$17)/$B$26))))*264.172052/$B$17</f>
        <v/>
      </c>
      <c r="C133" s="13" t="n"/>
      <c r="D133" s="14">
        <f>IF(C133="","",ABS(C133-B133)/B133)</f>
        <v/>
      </c>
      <c r="E133" s="2" t="inlineStr">
        <is>
          <t>extremo superior do sweep</t>
        </is>
      </c>
    </row>
    <row r="134" ht="15" customHeight="1"/>
    <row r="135" ht="15" customHeight="1"/>
    <row r="136" ht="15" customHeight="1">
      <c r="A136" s="3" t="inlineStr">
        <is>
          <t>SKIN (aba Skin Evolution) — nao depende da vazao</t>
        </is>
      </c>
      <c r="B136" s="15" t="n"/>
      <c r="C136" s="15" t="n"/>
      <c r="D136" s="15" t="n"/>
    </row>
    <row r="137" ht="15" customHeight="1">
      <c r="A137" t="inlineStr">
        <is>
          <t>skin no Target</t>
        </is>
      </c>
      <c r="B137" s="6">
        <f>$B$32</f>
        <v/>
      </c>
      <c r="C137" s="13" t="n"/>
      <c r="D137" s="14">
        <f>IF(C137="","",ABS(C137-B137)/B137)</f>
        <v/>
      </c>
      <c r="E137" s="2" t="inlineStr">
        <is>
          <t>formula: -LN((r_w+l)/r_w), r_w e l em pes</t>
        </is>
      </c>
    </row>
    <row r="138" ht="15" customHeight="1"/>
    <row r="139" ht="15" customHeight="1"/>
    <row r="140" ht="14.25" customHeight="1">
      <c r="A140" s="17" t="inlineStr">
        <is>
          <t>COMO USAR</t>
        </is>
      </c>
    </row>
    <row r="141" ht="14.25" customHeight="1">
      <c r="A141" s="2" t="inlineStr">
        <is>
          <t>1. No PVBtCalc: modo Radial, Acid System = o mesmo escolhido em F6 (confira k0 em B8).</t>
        </is>
      </c>
    </row>
    <row r="142" ht="14.25" customHeight="1">
      <c r="A142" s="2" t="inlineStr">
        <is>
          <t>2. Preencha a geometria com os mesmos valores do bloco amarelo. Temperatura em °C nos dois.</t>
        </is>
      </c>
    </row>
    <row r="143" ht="14.25" customHeight="1">
      <c r="A143" s="2" t="inlineStr">
        <is>
          <t>3. Flowrate sweep: use os mesmos valores de F13/F14, em gal/(ft.min).</t>
        </is>
      </c>
    </row>
    <row r="144" ht="14.25" customHeight="1">
      <c r="A144" s="2" t="inlineStr">
        <is>
          <t xml:space="preserve">   Confira a janela de validade calculada em B121/B122 -- se o sweep estiver todo fora dela, ajuste.</t>
        </is>
      </c>
    </row>
    <row r="145" ht="14.25" customHeight="1">
      <c r="A145" s="2" t="inlineStr">
        <is>
          <t>4. Calculate. Leia os valores da TABELA do painel 05, NAO do grafico</t>
        </is>
      </c>
    </row>
    <row r="146" ht="14.25" customHeight="1">
      <c r="A146" s="2" t="inlineStr">
        <is>
          <t xml:space="preserve">   (ler do grafico introduz ~0.5% de erro so por interpolacao visual).</t>
        </is>
      </c>
    </row>
    <row r="147" ht="14.25" customHeight="1">
      <c r="A147" s="2" t="inlineStr">
        <is>
          <t>5. Digite os valores lidos nas celulas VERDES. A coluna 'dif %' calcula sozinha.</t>
        </is>
      </c>
    </row>
    <row r="148" ht="14.25" customHeight="1">
      <c r="A148" s="2" t="n"/>
    </row>
    <row r="149" ht="14.25" customHeight="1">
      <c r="A149" s="2" t="inlineStr">
        <is>
          <t>TOLERANCIA ESPERADA:</t>
        </is>
      </c>
    </row>
    <row r="150" ht="14.25" customHeight="1">
      <c r="A150" s="2" t="inlineStr">
        <is>
          <t xml:space="preserve">  ate ~0.5%  -&gt; normal a ~25 C (a planilha usa X fixo = 0.5417; o app recalcula X com a densidade)</t>
        </is>
      </c>
    </row>
    <row r="151" ht="14.25" customHeight="1">
      <c r="A151" s="2" t="inlineStr">
        <is>
          <t xml:space="preserve">  a tolerancia CRESCE com a temperatura: ~2% a 65 C e ~6% a 150 C, so por causa do X.</t>
        </is>
      </c>
    </row>
    <row r="152" ht="14.25" customHeight="1">
      <c r="A152" s="2" t="inlineStr">
        <is>
          <t xml:space="preserve">  acima de 0.5% nos pontos da curva -&gt; investigar, nao e arredondamento</t>
        </is>
      </c>
    </row>
    <row r="154" ht="14.25" customHeight="1">
      <c r="A154" s="18" t="inlineStr">
        <is>
          <t>TOLERANCIA POR COLUNA:</t>
        </is>
      </c>
    </row>
    <row r="155" ht="14.25" customHeight="1">
      <c r="A155" s="2" t="inlineStr">
        <is>
          <t xml:space="preserve">  V_A e tbt: dependem de X -&gt; ver a tolerancia por temperatura acima.</t>
        </is>
      </c>
    </row>
    <row r="156" ht="14.25" customHeight="1">
      <c r="A156" s="2" t="inlineStr">
        <is>
          <t xml:space="preserve">  iv, wv, 1/Da: NAO dependem de X -- devem bater bem mais perto (tipicamente &lt;0.01%).</t>
        </is>
      </c>
    </row>
    <row r="157" ht="14.25" customHeight="1">
      <c r="A157" s="2" t="inlineStr">
        <is>
          <t xml:space="preserve">  Se iv/wv/1-Da divergirem mais que V_A/tbt, a causa NAO e o mesmo motivo -- investigar</t>
        </is>
      </c>
    </row>
    <row r="158" ht="14.25" customHeight="1">
      <c r="A158" s="2" t="inlineStr">
        <is>
          <t xml:space="preserve">  separadamente (provavel erro de formula, nao arredondamento de X).</t>
        </is>
      </c>
    </row>
    <row r="159" ht="14.25" customHeight="1">
      <c r="A159" s="2" t="inlineStr">
        <is>
          <t xml:space="preserve">  q_opt: ate ~5% -- so ele (a planilha pega o menor ponto da grade; o app usa otimizador).</t>
        </is>
      </c>
    </row>
    <row r="160">
      <c r="A160" s="22" t="inlineStr">
        <is>
          <t>LIMITE DO MODELO (verificado contra o artigo):</t>
        </is>
      </c>
    </row>
    <row r="161">
      <c r="A161" t="inlineStr">
        <is>
          <t xml:space="preserve">  O expoente da Eq. 42 contem k_eff*b*l. Acima de ~7 o volume explode (e^7 ~ 1100).</t>
        </is>
      </c>
    </row>
    <row r="162">
      <c r="A162" t="inlineStr">
        <is>
          <t xml:space="preserve">  Por isso alvos longos em temperatura alta saem com V_A absurdo: nao e erro de planilha,</t>
        </is>
      </c>
    </row>
    <row r="163">
      <c r="A163" t="inlineStr">
        <is>
          <t xml:space="preserve">  e o modelo dizendo que o acido se consome antes de chegar la. B124 sinaliza isso.</t>
        </is>
      </c>
    </row>
    <row r="168">
      <c r="A168" s="10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</sheetData>
  <dataValidations count="3">
    <dataValidation sqref="F5" showDropDown="0" showInputMessage="0" showErrorMessage="0" allowBlank="0" type="list">
      <formula1>"Indiana Limestone,Austin Chalk,Edwards Yellow,Desert Pink,Winterset limestone,Edwards White"</formula1>
      <formula2>0</formula2>
    </dataValidation>
    <dataValidation sqref="F6" showDropDown="0" showInputMessage="0" showErrorMessage="0" allowBlank="0" type="list">
      <formula1>"HCl (sem inibidor),HCl com inibidor,Acido emulsificado"</formula1>
      <formula2>0</formula2>
    </dataValidation>
    <dataValidation sqref="F9" showDropDown="0" showInputMessage="0" showErrorMessage="0" allowBlank="0" type="list">
      <formula1>"SIM,NAO"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topLeftCell="A31" zoomScaleNormal="100" workbookViewId="0">
      <selection activeCell="C32" sqref="C32"/>
    </sheetView>
  </sheetViews>
  <sheetFormatPr baseColWidth="8" defaultColWidth="8.6640625" defaultRowHeight="14.4"/>
  <cols>
    <col width="5" customWidth="1" min="1" max="1"/>
    <col width="22" customWidth="1" min="2" max="2"/>
    <col width="20" customWidth="1" min="3" max="3"/>
    <col width="8" customWidth="1" min="4" max="4"/>
    <col width="16" customWidth="1" min="5" max="5"/>
    <col width="12" customWidth="1" min="6" max="6"/>
    <col width="13" customWidth="1" min="7" max="7"/>
    <col width="11" customWidth="1" min="8" max="8"/>
    <col width="42" customWidth="1" min="9" max="9"/>
  </cols>
  <sheetData>
    <row r="1" ht="15.75" customHeight="1">
      <c r="A1" s="19" t="inlineStr">
        <is>
          <t>BANCO DE COMBINACOES PARA TESTE — 6 rochas x 3 sistemas acidos = 18 casos</t>
        </is>
      </c>
    </row>
    <row r="2" ht="15" customHeight="1">
      <c r="A2" s="2" t="inlineStr">
        <is>
          <t>Coeficientes da Tabela 1 (Ali &amp; Ziauddin, 2019). Todas as 6 rochas sao CALCARIO.</t>
        </is>
      </c>
    </row>
    <row r="3" ht="15" customHeight="1">
      <c r="A3" s="2" t="inlineStr">
        <is>
          <t>Por isso a/b/n/k0 dependem SO do acido -- repetem identicos entre as rochas. A rocha muda apenas o ff.</t>
        </is>
      </c>
    </row>
    <row r="5" ht="15" customHeight="1">
      <c r="A5" s="11" t="inlineStr">
        <is>
          <t>#</t>
        </is>
      </c>
      <c r="B5" s="11" t="inlineStr">
        <is>
          <t>rocha</t>
        </is>
      </c>
      <c r="C5" s="11" t="inlineStr">
        <is>
          <t>acido</t>
        </is>
      </c>
      <c r="D5" s="11" t="inlineStr">
        <is>
          <t>n</t>
        </is>
      </c>
      <c r="E5" s="11" t="inlineStr">
        <is>
          <t>a [(m)^2(1-n)]</t>
        </is>
      </c>
      <c r="F5" s="11" t="inlineStr">
        <is>
          <t>b [s/m]</t>
        </is>
      </c>
      <c r="G5" s="11" t="inlineStr">
        <is>
          <t>k0 [1/m2]</t>
        </is>
      </c>
      <c r="H5" s="11" t="inlineStr">
        <is>
          <t>ff (rocha)</t>
        </is>
      </c>
      <c r="I5" s="11" t="inlineStr">
        <is>
          <t>id</t>
        </is>
      </c>
    </row>
    <row r="6" ht="15" customHeight="1">
      <c r="A6" s="6" t="n">
        <v>1</v>
      </c>
      <c r="B6" s="6" t="inlineStr">
        <is>
          <t>Indiana Limestone</t>
        </is>
      </c>
      <c r="C6" s="6" t="inlineStr">
        <is>
          <t>HCl (sem inibidor)</t>
        </is>
      </c>
      <c r="D6" s="6" t="n">
        <v>0.65</v>
      </c>
      <c r="E6" s="6" t="n">
        <v>0.000268</v>
      </c>
      <c r="F6" s="6" t="n">
        <v>17.3</v>
      </c>
      <c r="G6" s="6" t="n">
        <v>24300000</v>
      </c>
      <c r="H6" s="6" t="n">
        <v>1</v>
      </c>
      <c r="I6" s="6" t="inlineStr">
        <is>
          <t>Indiana Limestone|HCl (sem inibidor)</t>
        </is>
      </c>
    </row>
    <row r="7" ht="15" customHeight="1">
      <c r="A7" s="20" t="n">
        <v>2</v>
      </c>
      <c r="B7" s="20" t="inlineStr">
        <is>
          <t>Indiana Limestone</t>
        </is>
      </c>
      <c r="C7" s="20" t="inlineStr">
        <is>
          <t>HCl com inibidor</t>
        </is>
      </c>
      <c r="D7" s="20" t="n">
        <v>0.65</v>
      </c>
      <c r="E7" s="20" t="n">
        <v>0.00051</v>
      </c>
      <c r="F7" s="20" t="n">
        <v>35.1</v>
      </c>
      <c r="G7" s="20" t="n">
        <v>2430000</v>
      </c>
      <c r="H7" s="20" t="n">
        <v>1</v>
      </c>
      <c r="I7" s="20" t="inlineStr">
        <is>
          <t>Indiana Limestone|HCl com inibidor</t>
        </is>
      </c>
    </row>
    <row r="8" ht="15" customHeight="1">
      <c r="A8" s="6" t="n">
        <v>3</v>
      </c>
      <c r="B8" s="6" t="inlineStr">
        <is>
          <t>Indiana Limestone</t>
        </is>
      </c>
      <c r="C8" s="6" t="inlineStr">
        <is>
          <t>Acido emulsificado</t>
        </is>
      </c>
      <c r="D8" s="6" t="n">
        <v>0.65</v>
      </c>
      <c r="E8" s="6" t="n">
        <v>0.000461</v>
      </c>
      <c r="F8" s="6" t="n">
        <v>15.5</v>
      </c>
      <c r="G8" s="6" t="n">
        <v>28500000</v>
      </c>
      <c r="H8" s="6" t="n">
        <v>1</v>
      </c>
      <c r="I8" s="6" t="inlineStr">
        <is>
          <t>Indiana Limestone|Acido emulsificado</t>
        </is>
      </c>
    </row>
    <row r="9" ht="15" customHeight="1">
      <c r="A9" s="20" t="n">
        <v>4</v>
      </c>
      <c r="B9" s="20" t="inlineStr">
        <is>
          <t>Austin Chalk</t>
        </is>
      </c>
      <c r="C9" s="20" t="inlineStr">
        <is>
          <t>HCl (sem inibidor)</t>
        </is>
      </c>
      <c r="D9" s="20" t="n">
        <v>0.65</v>
      </c>
      <c r="E9" s="20" t="n">
        <v>0.000268</v>
      </c>
      <c r="F9" s="20" t="n">
        <v>17.3</v>
      </c>
      <c r="G9" s="20" t="n">
        <v>24300000</v>
      </c>
      <c r="H9" s="20" t="n">
        <v>0.92</v>
      </c>
      <c r="I9" s="20" t="inlineStr">
        <is>
          <t>Austin Chalk|HCl (sem inibidor)</t>
        </is>
      </c>
    </row>
    <row r="10" ht="15" customHeight="1">
      <c r="A10" s="6" t="n">
        <v>5</v>
      </c>
      <c r="B10" s="6" t="inlineStr">
        <is>
          <t>Austin Chalk</t>
        </is>
      </c>
      <c r="C10" s="6" t="inlineStr">
        <is>
          <t>HCl com inibidor</t>
        </is>
      </c>
      <c r="D10" s="6" t="n">
        <v>0.65</v>
      </c>
      <c r="E10" s="6" t="n">
        <v>0.00051</v>
      </c>
      <c r="F10" s="6" t="n">
        <v>35.1</v>
      </c>
      <c r="G10" s="6" t="n">
        <v>2430000</v>
      </c>
      <c r="H10" s="6" t="n">
        <v>0.92</v>
      </c>
      <c r="I10" s="6" t="inlineStr">
        <is>
          <t>Austin Chalk|HCl com inibidor</t>
        </is>
      </c>
    </row>
    <row r="11" ht="15" customHeight="1">
      <c r="A11" s="20" t="n">
        <v>6</v>
      </c>
      <c r="B11" s="20" t="inlineStr">
        <is>
          <t>Austin Chalk</t>
        </is>
      </c>
      <c r="C11" s="20" t="inlineStr">
        <is>
          <t>Acido emulsificado</t>
        </is>
      </c>
      <c r="D11" s="20" t="n">
        <v>0.65</v>
      </c>
      <c r="E11" s="20" t="n">
        <v>0.000461</v>
      </c>
      <c r="F11" s="20" t="n">
        <v>15.5</v>
      </c>
      <c r="G11" s="20" t="n">
        <v>28500000</v>
      </c>
      <c r="H11" s="20" t="n">
        <v>0.92</v>
      </c>
      <c r="I11" s="20" t="inlineStr">
        <is>
          <t>Austin Chalk|Acido emulsificado</t>
        </is>
      </c>
    </row>
    <row r="12" ht="15" customHeight="1">
      <c r="A12" s="6" t="n">
        <v>7</v>
      </c>
      <c r="B12" s="6" t="inlineStr">
        <is>
          <t>Edwards Yellow</t>
        </is>
      </c>
      <c r="C12" s="6" t="inlineStr">
        <is>
          <t>HCl (sem inibidor)</t>
        </is>
      </c>
      <c r="D12" s="6" t="n">
        <v>0.65</v>
      </c>
      <c r="E12" s="6" t="n">
        <v>0.000268</v>
      </c>
      <c r="F12" s="6" t="n">
        <v>17.3</v>
      </c>
      <c r="G12" s="6" t="n">
        <v>24300000</v>
      </c>
      <c r="H12" s="6" t="n">
        <v>0.91</v>
      </c>
      <c r="I12" s="6" t="inlineStr">
        <is>
          <t>Edwards Yellow|HCl (sem inibidor)</t>
        </is>
      </c>
    </row>
    <row r="13" ht="15" customHeight="1">
      <c r="A13" s="20" t="n">
        <v>8</v>
      </c>
      <c r="B13" s="20" t="inlineStr">
        <is>
          <t>Edwards Yellow</t>
        </is>
      </c>
      <c r="C13" s="20" t="inlineStr">
        <is>
          <t>HCl com inibidor</t>
        </is>
      </c>
      <c r="D13" s="20" t="n">
        <v>0.65</v>
      </c>
      <c r="E13" s="20" t="n">
        <v>0.00051</v>
      </c>
      <c r="F13" s="20" t="n">
        <v>35.1</v>
      </c>
      <c r="G13" s="20" t="n">
        <v>2430000</v>
      </c>
      <c r="H13" s="20" t="n">
        <v>0.91</v>
      </c>
      <c r="I13" s="20" t="inlineStr">
        <is>
          <t>Edwards Yellow|HCl com inibidor</t>
        </is>
      </c>
    </row>
    <row r="14" ht="15" customHeight="1">
      <c r="A14" s="6" t="n">
        <v>9</v>
      </c>
      <c r="B14" s="6" t="inlineStr">
        <is>
          <t>Edwards Yellow</t>
        </is>
      </c>
      <c r="C14" s="6" t="inlineStr">
        <is>
          <t>Acido emulsificado</t>
        </is>
      </c>
      <c r="D14" s="6" t="n">
        <v>0.65</v>
      </c>
      <c r="E14" s="6" t="n">
        <v>0.000461</v>
      </c>
      <c r="F14" s="6" t="n">
        <v>15.5</v>
      </c>
      <c r="G14" s="6" t="n">
        <v>28500000</v>
      </c>
      <c r="H14" s="6" t="n">
        <v>0.91</v>
      </c>
      <c r="I14" s="6" t="inlineStr">
        <is>
          <t>Edwards Yellow|Acido emulsificado</t>
        </is>
      </c>
    </row>
    <row r="15" ht="15" customHeight="1">
      <c r="A15" s="20" t="n">
        <v>10</v>
      </c>
      <c r="B15" s="20" t="inlineStr">
        <is>
          <t>Desert Pink</t>
        </is>
      </c>
      <c r="C15" s="20" t="inlineStr">
        <is>
          <t>HCl (sem inibidor)</t>
        </is>
      </c>
      <c r="D15" s="20" t="n">
        <v>0.65</v>
      </c>
      <c r="E15" s="20" t="n">
        <v>0.000268</v>
      </c>
      <c r="F15" s="20" t="n">
        <v>17.3</v>
      </c>
      <c r="G15" s="20" t="n">
        <v>24300000</v>
      </c>
      <c r="H15" s="20" t="n">
        <v>0.75</v>
      </c>
      <c r="I15" s="20" t="inlineStr">
        <is>
          <t>Desert Pink|HCl (sem inibidor)</t>
        </is>
      </c>
    </row>
    <row r="16" ht="15" customHeight="1">
      <c r="A16" s="6" t="n">
        <v>11</v>
      </c>
      <c r="B16" s="6" t="inlineStr">
        <is>
          <t>Desert Pink</t>
        </is>
      </c>
      <c r="C16" s="6" t="inlineStr">
        <is>
          <t>HCl com inibidor</t>
        </is>
      </c>
      <c r="D16" s="6" t="n">
        <v>0.65</v>
      </c>
      <c r="E16" s="6" t="n">
        <v>0.00051</v>
      </c>
      <c r="F16" s="6" t="n">
        <v>35.1</v>
      </c>
      <c r="G16" s="6" t="n">
        <v>2430000</v>
      </c>
      <c r="H16" s="6" t="n">
        <v>0.75</v>
      </c>
      <c r="I16" s="6" t="inlineStr">
        <is>
          <t>Desert Pink|HCl com inibidor</t>
        </is>
      </c>
    </row>
    <row r="17" ht="15" customHeight="1">
      <c r="A17" s="20" t="n">
        <v>12</v>
      </c>
      <c r="B17" s="20" t="inlineStr">
        <is>
          <t>Desert Pink</t>
        </is>
      </c>
      <c r="C17" s="20" t="inlineStr">
        <is>
          <t>Acido emulsificado</t>
        </is>
      </c>
      <c r="D17" s="20" t="n">
        <v>0.65</v>
      </c>
      <c r="E17" s="20" t="n">
        <v>0.000461</v>
      </c>
      <c r="F17" s="20" t="n">
        <v>15.5</v>
      </c>
      <c r="G17" s="20" t="n">
        <v>28500000</v>
      </c>
      <c r="H17" s="20" t="n">
        <v>0.75</v>
      </c>
      <c r="I17" s="20" t="inlineStr">
        <is>
          <t>Desert Pink|Acido emulsificado</t>
        </is>
      </c>
    </row>
    <row r="18" ht="15" customHeight="1">
      <c r="A18" s="6" t="n">
        <v>13</v>
      </c>
      <c r="B18" s="6" t="inlineStr">
        <is>
          <t>Winterset limestone</t>
        </is>
      </c>
      <c r="C18" s="6" t="inlineStr">
        <is>
          <t>HCl (sem inibidor)</t>
        </is>
      </c>
      <c r="D18" s="6" t="n">
        <v>0.65</v>
      </c>
      <c r="E18" s="6" t="n">
        <v>0.000268</v>
      </c>
      <c r="F18" s="6" t="n">
        <v>17.3</v>
      </c>
      <c r="G18" s="6" t="n">
        <v>24300000</v>
      </c>
      <c r="H18" s="6" t="n">
        <v>0.64</v>
      </c>
      <c r="I18" s="6" t="inlineStr">
        <is>
          <t>Winterset limestone|HCl (sem inibidor)</t>
        </is>
      </c>
    </row>
    <row r="19" ht="15" customHeight="1">
      <c r="A19" s="20" t="n">
        <v>14</v>
      </c>
      <c r="B19" s="20" t="inlineStr">
        <is>
          <t>Winterset limestone</t>
        </is>
      </c>
      <c r="C19" s="20" t="inlineStr">
        <is>
          <t>HCl com inibidor</t>
        </is>
      </c>
      <c r="D19" s="20" t="n">
        <v>0.65</v>
      </c>
      <c r="E19" s="20" t="n">
        <v>0.00051</v>
      </c>
      <c r="F19" s="20" t="n">
        <v>35.1</v>
      </c>
      <c r="G19" s="20" t="n">
        <v>2430000</v>
      </c>
      <c r="H19" s="20" t="n">
        <v>0.64</v>
      </c>
      <c r="I19" s="20" t="inlineStr">
        <is>
          <t>Winterset limestone|HCl com inibidor</t>
        </is>
      </c>
    </row>
    <row r="20" ht="15" customHeight="1">
      <c r="A20" s="6" t="n">
        <v>15</v>
      </c>
      <c r="B20" s="6" t="inlineStr">
        <is>
          <t>Winterset limestone</t>
        </is>
      </c>
      <c r="C20" s="6" t="inlineStr">
        <is>
          <t>Acido emulsificado</t>
        </is>
      </c>
      <c r="D20" s="6" t="n">
        <v>0.65</v>
      </c>
      <c r="E20" s="6" t="n">
        <v>0.000461</v>
      </c>
      <c r="F20" s="6" t="n">
        <v>15.5</v>
      </c>
      <c r="G20" s="6" t="n">
        <v>28500000</v>
      </c>
      <c r="H20" s="6" t="n">
        <v>0.64</v>
      </c>
      <c r="I20" s="6" t="inlineStr">
        <is>
          <t>Winterset limestone|Acido emulsificado</t>
        </is>
      </c>
    </row>
    <row r="21" ht="15" customHeight="1">
      <c r="A21" s="20" t="n">
        <v>16</v>
      </c>
      <c r="B21" s="20" t="inlineStr">
        <is>
          <t>Edwards White</t>
        </is>
      </c>
      <c r="C21" s="20" t="inlineStr">
        <is>
          <t>HCl (sem inibidor)</t>
        </is>
      </c>
      <c r="D21" s="20" t="n">
        <v>0.65</v>
      </c>
      <c r="E21" s="20" t="n">
        <v>0.000268</v>
      </c>
      <c r="F21" s="20" t="n">
        <v>17.3</v>
      </c>
      <c r="G21" s="20" t="n">
        <v>24300000</v>
      </c>
      <c r="H21" s="20" t="n">
        <v>0.52</v>
      </c>
      <c r="I21" s="20" t="inlineStr">
        <is>
          <t>Edwards White|HCl (sem inibidor)</t>
        </is>
      </c>
    </row>
    <row r="22" ht="15" customHeight="1">
      <c r="A22" s="6" t="n">
        <v>17</v>
      </c>
      <c r="B22" s="6" t="inlineStr">
        <is>
          <t>Edwards White</t>
        </is>
      </c>
      <c r="C22" s="6" t="inlineStr">
        <is>
          <t>HCl com inibidor</t>
        </is>
      </c>
      <c r="D22" s="6" t="n">
        <v>0.65</v>
      </c>
      <c r="E22" s="6" t="n">
        <v>0.00051</v>
      </c>
      <c r="F22" s="6" t="n">
        <v>35.1</v>
      </c>
      <c r="G22" s="6" t="n">
        <v>2430000</v>
      </c>
      <c r="H22" s="6" t="n">
        <v>0.52</v>
      </c>
      <c r="I22" s="6" t="inlineStr">
        <is>
          <t>Edwards White|HCl com inibidor</t>
        </is>
      </c>
    </row>
    <row r="23" ht="15" customHeight="1">
      <c r="A23" s="20" t="n">
        <v>18</v>
      </c>
      <c r="B23" s="20" t="inlineStr">
        <is>
          <t>Edwards White</t>
        </is>
      </c>
      <c r="C23" s="20" t="inlineStr">
        <is>
          <t>Acido emulsificado</t>
        </is>
      </c>
      <c r="D23" s="20" t="n">
        <v>0.65</v>
      </c>
      <c r="E23" s="20" t="n">
        <v>0.000461</v>
      </c>
      <c r="F23" s="20" t="n">
        <v>15.5</v>
      </c>
      <c r="G23" s="20" t="n">
        <v>28500000</v>
      </c>
      <c r="H23" s="20" t="n">
        <v>0.52</v>
      </c>
      <c r="I23" s="20" t="inlineStr">
        <is>
          <t>Edwards White|Acido emulsificado</t>
        </is>
      </c>
    </row>
    <row r="25" ht="15" customHeight="1">
      <c r="A25" s="10" t="inlineStr">
        <is>
          <t>COMO USAR</t>
        </is>
      </c>
    </row>
    <row r="26" ht="15" customHeight="1">
      <c r="A26" s="10" t="inlineStr">
        <is>
          <t>1. Na aba principal, escolha a rocha (F5) e o acido (F6) nas listas suspensas.</t>
        </is>
      </c>
    </row>
    <row r="27" ht="15" customHeight="1">
      <c r="A27" s="2" t="inlineStr">
        <is>
          <t>2. Os coeficientes n/a/b/k0 sao puxados daqui automaticamente -- nao digite a mao.</t>
        </is>
      </c>
    </row>
    <row r="28" ht="15" customHeight="1">
      <c r="A28" s="2" t="inlineStr">
        <is>
          <t>3. Rode o mesmo caso no PVBtCalc e cole os resultados nas celulas verdes.</t>
        </is>
      </c>
    </row>
    <row r="29" ht="15" customHeight="1">
      <c r="A29" s="2" t="inlineStr">
        <is>
          <t>4. Para varrer os 18 casos: mude os seletores e repita. Esperado ~0.13% de diferenca</t>
        </is>
      </c>
    </row>
    <row r="30" ht="15" customHeight="1">
      <c r="A30" s="2" t="inlineStr">
        <is>
          <t xml:space="preserve">   (vem do X: planilha usa 0.5417, app usa 0.5424).</t>
        </is>
      </c>
    </row>
    <row r="31" ht="15" customHeight="1">
      <c r="A31" s="2" t="n"/>
    </row>
    <row r="32" ht="15" customHeight="1">
      <c r="A32" s="2" t="inlineStr">
        <is>
          <t>O QUE ESPERAR AO TROCAR DE ROCHA:</t>
        </is>
      </c>
    </row>
    <row r="33" ht="15" customHeight="1">
      <c r="A33" s="2" t="inlineStr">
        <is>
          <t xml:space="preserve">  NADA muda no resultado radial. As 6 rochas sao calcario e compartilham a mesma linha</t>
        </is>
      </c>
    </row>
    <row r="34" ht="15" customHeight="1">
      <c r="A34" s="2" t="inlineStr">
        <is>
          <t xml:space="preserve">  da Tabela 1 -- confira acima: a/b/n/k0 sao identicos nas 3 linhas de cada acido.</t>
        </is>
      </c>
    </row>
    <row r="35" ht="15" customHeight="1">
      <c r="A35" s="2" t="inlineStr">
        <is>
          <t xml:space="preserve">  O ff (flowing fraction) difere por rocha, mas hoje NAO entra no modelo radial.</t>
        </is>
      </c>
    </row>
    <row r="36" ht="15" customHeight="1">
      <c r="A36" s="2" t="inlineStr">
        <is>
          <t xml:space="preserve">  Se um dia entrar, sera como fator multiplicativo em V_A e tau -- entao o V_A de</t>
        </is>
      </c>
    </row>
    <row r="37" ht="15" customHeight="1">
      <c r="A37" s="2" t="inlineStr">
        <is>
          <t xml:space="preserve">  Edwards White (ff=0.52) ficaria ~metade do de Indiana (ff=1.00).</t>
        </is>
      </c>
    </row>
    <row r="38" ht="15" customHeight="1">
      <c r="A38" s="2" t="n"/>
    </row>
    <row r="39" ht="15" customHeight="1">
      <c r="A39" s="2" t="inlineStr">
        <is>
          <t>O QUE ESPERAR AO TROCAR DE ACIDO:</t>
        </is>
      </c>
    </row>
    <row r="40" ht="15" customHeight="1">
      <c r="A40" s="2" t="inlineStr">
        <is>
          <t xml:space="preserve">  Muda tudo. k0 do HCl sem inibidor e 10x o do HCl com inibidor -- reacao mais rapida,</t>
        </is>
      </c>
    </row>
    <row r="41" ht="15" customHeight="1">
      <c r="A41" s="2" t="inlineStr">
        <is>
          <t xml:space="preserve">  q_opt maior, volume diferente. E a unica variavel que realmente move o modelo hoje.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2026-09-04T19:51:07Z</dcterms:created>
  <dcterms:modified xmlns:dcterms="http://purl.org/dc/terms/" xmlns:xsi="http://www.w3.org/2001/XMLSchema-instance" xsi:type="dcterms:W3CDTF">2026-09-22T14:23:56Z</dcterms:modified>
  <cp:lastModifiedBy>Douglas da Costa</cp:lastModifiedBy>
  <cp:revision>0</cp:revision>
</cp:coreProperties>
</file>